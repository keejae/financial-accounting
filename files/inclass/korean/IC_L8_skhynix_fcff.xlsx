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ng1p\Dropbox\1_0_teaching\0_2026_Summer\0_Kaist MBA\1_weekly notes\0_Valuation\"/>
    </mc:Choice>
  </mc:AlternateContent>
  <xr:revisionPtr revIDLastSave="0" documentId="13_ncr:1_{7DFA1E77-4CA2-45CB-8697-D622F0E2CC1C}" xr6:coauthVersionLast="47" xr6:coauthVersionMax="47" xr10:uidLastSave="{00000000-0000-0000-0000-000000000000}"/>
  <bookViews>
    <workbookView xWindow="-28920" yWindow="2145" windowWidth="29040" windowHeight="15195" tabRatio="500" firstSheet="3" activeTab="7" xr2:uid="{00000000-000D-0000-FFFF-FFFF00000000}"/>
  </bookViews>
  <sheets>
    <sheet name="README" sheetId="1" r:id="rId1"/>
    <sheet name="Raw_NVDA" sheetId="2" r:id="rId2"/>
    <sheet name="Raw_SKhynix" sheetId="3" r:id="rId3"/>
    <sheet name="Raw_Quarterly" sheetId="4" r:id="rId4"/>
    <sheet name="Consensus" sheetId="5" r:id="rId5"/>
    <sheet name="1) DCF Val_FCFF" sheetId="7" r:id="rId6"/>
    <sheet name="2) VAL with Earnings" sheetId="8" r:id="rId7"/>
    <sheet name="3) VAL Gordon Growth Model" sheetId="9"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0" i="9" l="1"/>
  <c r="C32" i="9"/>
  <c r="B61" i="9"/>
  <c r="B59" i="9"/>
  <c r="C40" i="9"/>
  <c r="C29" i="9"/>
  <c r="D29" i="9" s="1"/>
  <c r="B18" i="9"/>
  <c r="B24" i="9" s="1"/>
  <c r="B8" i="9"/>
  <c r="B59" i="8"/>
  <c r="B60" i="8"/>
  <c r="B61" i="8"/>
  <c r="B62" i="8"/>
  <c r="C29" i="8"/>
  <c r="C30" i="8"/>
  <c r="C31" i="8" s="1"/>
  <c r="C40" i="8" s="1"/>
  <c r="B18" i="8"/>
  <c r="B24" i="8" s="1"/>
  <c r="B8" i="8"/>
  <c r="B62" i="7"/>
  <c r="B60" i="7"/>
  <c r="B58" i="7"/>
  <c r="B57" i="7"/>
  <c r="B56" i="7"/>
  <c r="B55" i="7"/>
  <c r="C36" i="7"/>
  <c r="C35" i="7"/>
  <c r="C34" i="7"/>
  <c r="C30" i="7"/>
  <c r="C29" i="7"/>
  <c r="C31" i="7" s="1"/>
  <c r="B22" i="7"/>
  <c r="B21" i="7"/>
  <c r="B18" i="7"/>
  <c r="B8" i="7"/>
  <c r="B23" i="7" s="1"/>
  <c r="B37" i="4"/>
  <c r="B36" i="4"/>
  <c r="B35" i="4"/>
  <c r="B34" i="4"/>
  <c r="B33" i="4"/>
  <c r="B32" i="4"/>
  <c r="B18" i="4"/>
  <c r="B17" i="4"/>
  <c r="B16" i="4"/>
  <c r="B15" i="4"/>
  <c r="B14" i="4"/>
  <c r="J46" i="3"/>
  <c r="I46" i="3"/>
  <c r="H46" i="3"/>
  <c r="G46" i="3"/>
  <c r="F46" i="3"/>
  <c r="E46" i="3"/>
  <c r="K45" i="3"/>
  <c r="K46" i="3" s="1"/>
  <c r="J45" i="3"/>
  <c r="I45" i="3"/>
  <c r="H45" i="3"/>
  <c r="G45" i="3"/>
  <c r="F45" i="3"/>
  <c r="E45" i="3"/>
  <c r="D45" i="3"/>
  <c r="D46" i="3" s="1"/>
  <c r="C45" i="3"/>
  <c r="C46" i="3" s="1"/>
  <c r="B45" i="3"/>
  <c r="B46" i="3" s="1"/>
  <c r="E42" i="3"/>
  <c r="E43" i="3" s="1"/>
  <c r="K41" i="3"/>
  <c r="K42" i="3" s="1"/>
  <c r="J41" i="3"/>
  <c r="J42" i="3" s="1"/>
  <c r="J43" i="3" s="1"/>
  <c r="I41" i="3"/>
  <c r="I42" i="3" s="1"/>
  <c r="I43" i="3" s="1"/>
  <c r="H41" i="3"/>
  <c r="H42" i="3" s="1"/>
  <c r="H43" i="3" s="1"/>
  <c r="G41" i="3"/>
  <c r="G42" i="3" s="1"/>
  <c r="G43" i="3" s="1"/>
  <c r="F41" i="3"/>
  <c r="F42" i="3" s="1"/>
  <c r="F43" i="3" s="1"/>
  <c r="E41" i="3"/>
  <c r="D41" i="3"/>
  <c r="D42" i="3" s="1"/>
  <c r="D43" i="3" s="1"/>
  <c r="C41" i="3"/>
  <c r="C42" i="3" s="1"/>
  <c r="C43" i="3" s="1"/>
  <c r="B41" i="3"/>
  <c r="B42" i="3" s="1"/>
  <c r="B43" i="3" s="1"/>
  <c r="K37" i="3"/>
  <c r="J37" i="3"/>
  <c r="I37" i="3"/>
  <c r="H37" i="3"/>
  <c r="G37" i="3"/>
  <c r="F37" i="3"/>
  <c r="E37" i="3"/>
  <c r="D37" i="3"/>
  <c r="C37" i="3"/>
  <c r="B37" i="3"/>
  <c r="K36" i="3"/>
  <c r="J36" i="3"/>
  <c r="I36" i="3"/>
  <c r="H36" i="3"/>
  <c r="G36" i="3"/>
  <c r="F36" i="3"/>
  <c r="E36" i="3"/>
  <c r="D36" i="3"/>
  <c r="C36" i="3"/>
  <c r="B36" i="3"/>
  <c r="K35" i="3"/>
  <c r="J35" i="3"/>
  <c r="I35" i="3"/>
  <c r="H35" i="3"/>
  <c r="G35" i="3"/>
  <c r="F35" i="3"/>
  <c r="E35" i="3"/>
  <c r="D35" i="3"/>
  <c r="C35" i="3"/>
  <c r="B35" i="3"/>
  <c r="K34" i="3"/>
  <c r="J34" i="3"/>
  <c r="I34" i="3"/>
  <c r="H34" i="3"/>
  <c r="G34" i="3"/>
  <c r="F34" i="3"/>
  <c r="E34" i="3"/>
  <c r="D34" i="3"/>
  <c r="C34" i="3"/>
  <c r="B34" i="3"/>
  <c r="K33" i="3"/>
  <c r="J33" i="3"/>
  <c r="I33" i="3"/>
  <c r="H33" i="3"/>
  <c r="G33" i="3"/>
  <c r="F33" i="3"/>
  <c r="E33" i="3"/>
  <c r="D33" i="3"/>
  <c r="C33" i="3"/>
  <c r="B33" i="3"/>
  <c r="K32" i="3"/>
  <c r="J32" i="3"/>
  <c r="I32" i="3"/>
  <c r="H32" i="3"/>
  <c r="G32" i="3"/>
  <c r="F32" i="3"/>
  <c r="E32" i="3"/>
  <c r="D32" i="3"/>
  <c r="C32" i="3"/>
  <c r="K27" i="3"/>
  <c r="J27" i="3"/>
  <c r="I27" i="3"/>
  <c r="H27" i="3"/>
  <c r="G27" i="3"/>
  <c r="F27" i="3"/>
  <c r="E27" i="3"/>
  <c r="D27" i="3"/>
  <c r="K26" i="3"/>
  <c r="J26" i="3"/>
  <c r="I26" i="3"/>
  <c r="H26" i="3"/>
  <c r="G26" i="3"/>
  <c r="F26" i="3"/>
  <c r="E26" i="3"/>
  <c r="D26" i="3"/>
  <c r="C26" i="3"/>
  <c r="C27" i="3" s="1"/>
  <c r="B26" i="3"/>
  <c r="B27" i="3" s="1"/>
  <c r="K46" i="2"/>
  <c r="J46" i="2"/>
  <c r="I46" i="2"/>
  <c r="H46" i="2"/>
  <c r="K45" i="2"/>
  <c r="J45" i="2"/>
  <c r="I45" i="2"/>
  <c r="H45" i="2"/>
  <c r="G45" i="2"/>
  <c r="G46" i="2" s="1"/>
  <c r="F45" i="2"/>
  <c r="F46" i="2" s="1"/>
  <c r="E45" i="2"/>
  <c r="E46" i="2" s="1"/>
  <c r="D45" i="2"/>
  <c r="D46" i="2" s="1"/>
  <c r="C45" i="2"/>
  <c r="C46" i="2" s="1"/>
  <c r="B45" i="2"/>
  <c r="B46" i="2" s="1"/>
  <c r="K42" i="2"/>
  <c r="K43" i="2" s="1"/>
  <c r="J42" i="2"/>
  <c r="J43" i="2" s="1"/>
  <c r="I42" i="2"/>
  <c r="I43" i="2" s="1"/>
  <c r="H42" i="2"/>
  <c r="H43" i="2" s="1"/>
  <c r="G42" i="2"/>
  <c r="G43" i="2" s="1"/>
  <c r="F42" i="2"/>
  <c r="F43" i="2" s="1"/>
  <c r="K41" i="2"/>
  <c r="J41" i="2"/>
  <c r="I41" i="2"/>
  <c r="H41" i="2"/>
  <c r="G41" i="2"/>
  <c r="F41" i="2"/>
  <c r="E41" i="2"/>
  <c r="E42" i="2" s="1"/>
  <c r="E43" i="2" s="1"/>
  <c r="D41" i="2"/>
  <c r="D42" i="2" s="1"/>
  <c r="D43" i="2" s="1"/>
  <c r="C41" i="2"/>
  <c r="C42" i="2" s="1"/>
  <c r="C43" i="2" s="1"/>
  <c r="B41" i="2"/>
  <c r="B42" i="2" s="1"/>
  <c r="B43" i="2" s="1"/>
  <c r="K37" i="2"/>
  <c r="J37" i="2"/>
  <c r="I37" i="2"/>
  <c r="H37" i="2"/>
  <c r="G37" i="2"/>
  <c r="F37" i="2"/>
  <c r="E37" i="2"/>
  <c r="D37" i="2"/>
  <c r="C37" i="2"/>
  <c r="B37" i="2"/>
  <c r="K36" i="2"/>
  <c r="J36" i="2"/>
  <c r="I36" i="2"/>
  <c r="H36" i="2"/>
  <c r="G36" i="2"/>
  <c r="F36" i="2"/>
  <c r="E36" i="2"/>
  <c r="D36" i="2"/>
  <c r="C36" i="2"/>
  <c r="B36" i="2"/>
  <c r="K35" i="2"/>
  <c r="J35" i="2"/>
  <c r="I35" i="2"/>
  <c r="H35" i="2"/>
  <c r="G35" i="2"/>
  <c r="F35" i="2"/>
  <c r="E35" i="2"/>
  <c r="D35" i="2"/>
  <c r="C35" i="2"/>
  <c r="B35" i="2"/>
  <c r="K34" i="2"/>
  <c r="J34" i="2"/>
  <c r="I34" i="2"/>
  <c r="H34" i="2"/>
  <c r="G34" i="2"/>
  <c r="F34" i="2"/>
  <c r="E34" i="2"/>
  <c r="D34" i="2"/>
  <c r="C34" i="2"/>
  <c r="B34" i="2"/>
  <c r="K33" i="2"/>
  <c r="J33" i="2"/>
  <c r="I33" i="2"/>
  <c r="H33" i="2"/>
  <c r="G33" i="2"/>
  <c r="F33" i="2"/>
  <c r="E33" i="2"/>
  <c r="D33" i="2"/>
  <c r="C33" i="2"/>
  <c r="B33" i="2"/>
  <c r="K32" i="2"/>
  <c r="J32" i="2"/>
  <c r="I32" i="2"/>
  <c r="H32" i="2"/>
  <c r="G32" i="2"/>
  <c r="F32" i="2"/>
  <c r="E32" i="2"/>
  <c r="D32" i="2"/>
  <c r="C32" i="2"/>
  <c r="K27" i="2"/>
  <c r="J27" i="2"/>
  <c r="I27" i="2"/>
  <c r="H27" i="2"/>
  <c r="G27" i="2"/>
  <c r="F27" i="2"/>
  <c r="E27" i="2"/>
  <c r="K26" i="2"/>
  <c r="J26" i="2"/>
  <c r="I26" i="2"/>
  <c r="H26" i="2"/>
  <c r="G26" i="2"/>
  <c r="F26" i="2"/>
  <c r="E26" i="2"/>
  <c r="D26" i="2"/>
  <c r="D27" i="2" s="1"/>
  <c r="C26" i="2"/>
  <c r="C27" i="2" s="1"/>
  <c r="B26" i="2"/>
  <c r="B27" i="2" s="1"/>
  <c r="D40" i="9" l="1"/>
  <c r="D29" i="8"/>
  <c r="B24" i="7"/>
  <c r="C40" i="7"/>
  <c r="C41" i="7" s="1"/>
  <c r="K43" i="3"/>
  <c r="C32" i="7"/>
  <c r="C33" i="7"/>
  <c r="D29" i="7"/>
  <c r="C37" i="7"/>
  <c r="E40" i="9" l="1"/>
  <c r="D31" i="8"/>
  <c r="D40" i="8" s="1"/>
  <c r="E29" i="8"/>
  <c r="D44" i="8"/>
  <c r="E44" i="8"/>
  <c r="G44" i="8"/>
  <c r="F44" i="8"/>
  <c r="H44" i="8"/>
  <c r="D31" i="7"/>
  <c r="D39" i="7"/>
  <c r="D37" i="7"/>
  <c r="E29" i="7"/>
  <c r="D35" i="7"/>
  <c r="E45" i="7"/>
  <c r="D45" i="7"/>
  <c r="H45" i="7"/>
  <c r="G45" i="7"/>
  <c r="F45" i="7"/>
  <c r="F40" i="9" l="1"/>
  <c r="E31" i="8"/>
  <c r="E40" i="8" s="1"/>
  <c r="F29" i="8"/>
  <c r="E31" i="7"/>
  <c r="E39" i="7"/>
  <c r="E35" i="7"/>
  <c r="E37" i="7"/>
  <c r="F29" i="7"/>
  <c r="D32" i="7"/>
  <c r="D33" i="7" s="1"/>
  <c r="D40" i="7" s="1"/>
  <c r="H40" i="9" l="1"/>
  <c r="G40" i="9"/>
  <c r="D45" i="8"/>
  <c r="G29" i="8"/>
  <c r="F31" i="8"/>
  <c r="F40" i="8" s="1"/>
  <c r="D46" i="7"/>
  <c r="D41" i="7"/>
  <c r="F39" i="7"/>
  <c r="F35" i="7"/>
  <c r="F37" i="7"/>
  <c r="G29" i="7"/>
  <c r="F31" i="7"/>
  <c r="E32" i="7"/>
  <c r="E33" i="7" s="1"/>
  <c r="E40" i="7" s="1"/>
  <c r="E45" i="8" l="1"/>
  <c r="H29" i="8"/>
  <c r="G31" i="8"/>
  <c r="G40" i="8" s="1"/>
  <c r="E41" i="7"/>
  <c r="E46" i="7"/>
  <c r="F32" i="7"/>
  <c r="F33" i="7" s="1"/>
  <c r="F40" i="7" s="1"/>
  <c r="G37" i="7"/>
  <c r="H29" i="7"/>
  <c r="G35" i="7"/>
  <c r="G31" i="7"/>
  <c r="G39" i="7"/>
  <c r="B53" i="9" l="1"/>
  <c r="B58" i="9" s="1"/>
  <c r="B60" i="9" s="1"/>
  <c r="B62" i="9" s="1"/>
  <c r="F45" i="8"/>
  <c r="H31" i="8"/>
  <c r="H40" i="8" s="1"/>
  <c r="F41" i="7"/>
  <c r="F46" i="7"/>
  <c r="G32" i="7"/>
  <c r="G33" i="7" s="1"/>
  <c r="G40" i="7" s="1"/>
  <c r="H37" i="7"/>
  <c r="H31" i="7"/>
  <c r="H35" i="7"/>
  <c r="H39" i="7"/>
  <c r="G45" i="8" l="1"/>
  <c r="G46" i="7"/>
  <c r="G41" i="7"/>
  <c r="H32" i="7"/>
  <c r="H33" i="7" s="1"/>
  <c r="H40" i="7" s="1"/>
  <c r="B47" i="8" l="1"/>
  <c r="B48" i="8" s="1"/>
  <c r="H45" i="8"/>
  <c r="B46" i="8" s="1"/>
  <c r="H41" i="7"/>
  <c r="B48" i="7"/>
  <c r="B49" i="7" s="1"/>
  <c r="B50" i="7" s="1"/>
  <c r="H46" i="7"/>
  <c r="B47" i="7" s="1"/>
  <c r="D67" i="7"/>
  <c r="G69" i="7"/>
  <c r="E68" i="7"/>
  <c r="G68" i="7"/>
  <c r="F69" i="7"/>
  <c r="D68" i="7"/>
  <c r="C68" i="7"/>
  <c r="C71" i="7"/>
  <c r="E70" i="7"/>
  <c r="D71" i="7"/>
  <c r="C70" i="7"/>
  <c r="F68" i="7"/>
  <c r="D69" i="7"/>
  <c r="G70" i="7"/>
  <c r="C69" i="7"/>
  <c r="C67" i="7"/>
  <c r="G67" i="7"/>
  <c r="F70" i="7"/>
  <c r="F71" i="7"/>
  <c r="F67" i="7"/>
  <c r="D70" i="7"/>
  <c r="G71" i="7"/>
  <c r="E69" i="7"/>
  <c r="E71" i="7"/>
  <c r="E67" i="7"/>
  <c r="B49" i="8" l="1"/>
  <c r="B50" i="8"/>
  <c r="B53" i="8" s="1"/>
  <c r="B58" i="8" s="1"/>
  <c r="B51" i="7"/>
  <c r="B54" i="7" s="1"/>
  <c r="B59" i="7" s="1"/>
  <c r="B61" i="7" s="1"/>
  <c r="B63" i="7" s="1"/>
</calcChain>
</file>

<file path=xl/sharedStrings.xml><?xml version="1.0" encoding="utf-8"?>
<sst xmlns="http://schemas.openxmlformats.org/spreadsheetml/2006/main" count="455" uniqueCount="267">
  <si>
    <r>
      <rPr>
        <b/>
        <sz val="14"/>
        <color rgb="FF1F4899"/>
        <rFont val="Arial"/>
        <charset val="1"/>
      </rPr>
      <t xml:space="preserve">FCFF </t>
    </r>
    <r>
      <rPr>
        <b/>
        <sz val="14"/>
        <color rgb="FF1F4899"/>
        <rFont val="Noto Sans CJK SC"/>
        <family val="2"/>
      </rPr>
      <t xml:space="preserve">기업가치평가 강의자료 — </t>
    </r>
    <r>
      <rPr>
        <b/>
        <sz val="14"/>
        <color rgb="FF1F4899"/>
        <rFont val="Arial"/>
        <charset val="1"/>
      </rPr>
      <t>SK hynix · NVIDIA</t>
    </r>
  </si>
  <si>
    <r>
      <rPr>
        <i/>
        <sz val="9"/>
        <color rgb="FF666666"/>
        <rFont val="Arial"/>
        <charset val="1"/>
      </rPr>
      <t>2026</t>
    </r>
    <r>
      <rPr>
        <i/>
        <sz val="9"/>
        <color rgb="FF666666"/>
        <rFont val="Noto Sans CJK SC"/>
        <family val="2"/>
      </rPr>
      <t xml:space="preserve">년 </t>
    </r>
    <r>
      <rPr>
        <i/>
        <sz val="9"/>
        <color rgb="FF666666"/>
        <rFont val="Arial"/>
        <charset val="1"/>
      </rPr>
      <t>8</t>
    </r>
    <r>
      <rPr>
        <i/>
        <sz val="9"/>
        <color rgb="FF666666"/>
        <rFont val="Noto Sans CJK SC"/>
        <family val="2"/>
      </rPr>
      <t xml:space="preserve">월 </t>
    </r>
    <r>
      <rPr>
        <i/>
        <sz val="9"/>
        <color rgb="FF666666"/>
        <rFont val="Arial"/>
        <charset val="1"/>
      </rPr>
      <t>5</t>
    </r>
    <r>
      <rPr>
        <i/>
        <sz val="9"/>
        <color rgb="FF666666"/>
        <rFont val="Noto Sans CJK SC"/>
        <family val="2"/>
      </rPr>
      <t xml:space="preserve">일 작성 </t>
    </r>
    <r>
      <rPr>
        <i/>
        <sz val="9"/>
        <color rgb="FF666666"/>
        <rFont val="Arial"/>
        <charset val="1"/>
      </rPr>
      <t xml:space="preserve">· KAIST </t>
    </r>
    <r>
      <rPr>
        <i/>
        <sz val="9"/>
        <color rgb="FF666666"/>
        <rFont val="Noto Sans CJK SC"/>
        <family val="2"/>
      </rPr>
      <t>경영대학</t>
    </r>
  </si>
  <si>
    <t>이 워크북의 구성</t>
  </si>
  <si>
    <t>Raw_NVDA</t>
  </si>
  <si>
    <r>
      <rPr>
        <sz val="10"/>
        <rFont val="Arial"/>
        <charset val="1"/>
      </rPr>
      <t xml:space="preserve">NVIDIA: FCFF </t>
    </r>
    <r>
      <rPr>
        <sz val="10"/>
        <rFont val="Noto Sans CJK SC"/>
        <family val="2"/>
      </rPr>
      <t xml:space="preserve">산출에 필요한 </t>
    </r>
    <r>
      <rPr>
        <sz val="10"/>
        <rFont val="Arial"/>
        <charset val="1"/>
      </rPr>
      <t>10</t>
    </r>
    <r>
      <rPr>
        <sz val="10"/>
        <rFont val="Noto Sans CJK SC"/>
        <family val="2"/>
      </rPr>
      <t>개 회계연도</t>
    </r>
    <r>
      <rPr>
        <sz val="10"/>
        <rFont val="Arial"/>
        <charset val="1"/>
      </rPr>
      <t xml:space="preserve">(FY2017~FY2026) </t>
    </r>
    <r>
      <rPr>
        <sz val="10"/>
        <rFont val="Noto Sans CJK SC"/>
        <family val="2"/>
      </rPr>
      <t>항목</t>
    </r>
  </si>
  <si>
    <t>Raw_SKhynix</t>
  </si>
  <si>
    <r>
      <rPr>
        <sz val="10"/>
        <rFont val="Arial"/>
        <charset val="1"/>
      </rPr>
      <t xml:space="preserve">SK hynix: </t>
    </r>
    <r>
      <rPr>
        <sz val="10"/>
        <rFont val="Noto Sans CJK SC"/>
        <family val="2"/>
      </rPr>
      <t xml:space="preserve">동일한 양식의 </t>
    </r>
    <r>
      <rPr>
        <sz val="10"/>
        <rFont val="Arial"/>
        <charset val="1"/>
      </rPr>
      <t>10</t>
    </r>
    <r>
      <rPr>
        <sz val="10"/>
        <rFont val="Noto Sans CJK SC"/>
        <family val="2"/>
      </rPr>
      <t>개 사업연도</t>
    </r>
    <r>
      <rPr>
        <sz val="10"/>
        <rFont val="Arial"/>
        <charset val="1"/>
      </rPr>
      <t xml:space="preserve">(2016~2025) </t>
    </r>
    <r>
      <rPr>
        <sz val="10"/>
        <rFont val="Noto Sans CJK SC"/>
        <family val="2"/>
      </rPr>
      <t>항목</t>
    </r>
  </si>
  <si>
    <t>Raw_Quarterly</t>
  </si>
  <si>
    <r>
      <rPr>
        <sz val="10"/>
        <rFont val="Noto Sans CJK SC"/>
        <family val="2"/>
      </rPr>
      <t xml:space="preserve">각 기업의 최근 </t>
    </r>
    <r>
      <rPr>
        <sz val="10"/>
        <rFont val="Arial"/>
        <charset val="1"/>
      </rPr>
      <t>5</t>
    </r>
    <r>
      <rPr>
        <sz val="10"/>
        <rFont val="Noto Sans CJK SC"/>
        <family val="2"/>
      </rPr>
      <t>개 분기 실적</t>
    </r>
    <r>
      <rPr>
        <sz val="10"/>
        <rFont val="Arial"/>
        <charset val="1"/>
      </rPr>
      <t xml:space="preserve">. </t>
    </r>
    <r>
      <rPr>
        <sz val="10"/>
        <rFont val="Noto Sans CJK SC"/>
        <family val="2"/>
      </rPr>
      <t>중간기간 논의용</t>
    </r>
    <r>
      <rPr>
        <sz val="10"/>
        <rFont val="Arial"/>
        <charset val="1"/>
      </rPr>
      <t>.</t>
    </r>
  </si>
  <si>
    <t>Consensus</t>
  </si>
  <si>
    <r>
      <rPr>
        <sz val="10"/>
        <rFont val="Noto Sans CJK SC"/>
        <family val="2"/>
      </rPr>
      <t>증권사 컨센서스 추정치</t>
    </r>
    <r>
      <rPr>
        <sz val="10"/>
        <rFont val="Arial"/>
        <charset val="1"/>
      </rPr>
      <t>(</t>
    </r>
    <r>
      <rPr>
        <sz val="10"/>
        <rFont val="Noto Sans CJK SC"/>
        <family val="2"/>
      </rPr>
      <t>기업 단위</t>
    </r>
    <r>
      <rPr>
        <sz val="10"/>
        <rFont val="Arial"/>
        <charset val="1"/>
      </rPr>
      <t>)</t>
    </r>
    <r>
      <rPr>
        <sz val="10"/>
        <rFont val="Noto Sans CJK SC"/>
        <family val="2"/>
      </rPr>
      <t>와 출처</t>
    </r>
  </si>
  <si>
    <t>Val_NVDA</t>
  </si>
  <si>
    <r>
      <rPr>
        <sz val="10"/>
        <rFont val="Arial"/>
        <charset val="1"/>
      </rPr>
      <t xml:space="preserve">NVIDIA: FCFF → </t>
    </r>
    <r>
      <rPr>
        <sz val="10"/>
        <rFont val="Noto Sans CJK SC"/>
        <family val="2"/>
      </rPr>
      <t>기업가치 → 자기자본가치 → 주당가치</t>
    </r>
  </si>
  <si>
    <t>Val_SKhynix</t>
  </si>
  <si>
    <r>
      <rPr>
        <sz val="10"/>
        <rFont val="Arial"/>
        <charset val="1"/>
      </rPr>
      <t>SK hynix</t>
    </r>
    <r>
      <rPr>
        <sz val="10"/>
        <rFont val="Noto Sans CJK SC"/>
        <family val="2"/>
      </rPr>
      <t>에 동일한 모형을 원화 기준으로 적용</t>
    </r>
  </si>
  <si>
    <r>
      <rPr>
        <b/>
        <sz val="11"/>
        <color rgb="FF1F4899"/>
        <rFont val="Noto Sans CJK SC"/>
        <family val="2"/>
      </rPr>
      <t xml:space="preserve">색상 규칙 </t>
    </r>
    <r>
      <rPr>
        <b/>
        <sz val="11"/>
        <color rgb="FF1F4899"/>
        <rFont val="Arial"/>
        <charset val="1"/>
      </rPr>
      <t>(</t>
    </r>
    <r>
      <rPr>
        <b/>
        <sz val="11"/>
        <color rgb="FF1F4899"/>
        <rFont val="Noto Sans CJK SC"/>
        <family val="2"/>
      </rPr>
      <t>재무모형 표준 관행</t>
    </r>
    <r>
      <rPr>
        <b/>
        <sz val="11"/>
        <color rgb="FF1F4899"/>
        <rFont val="Arial"/>
        <charset val="1"/>
      </rPr>
      <t>)</t>
    </r>
  </si>
  <si>
    <t>파란색 글씨</t>
  </si>
  <si>
    <r>
      <rPr>
        <sz val="10"/>
        <rFont val="Noto Sans CJK SC"/>
        <family val="2"/>
      </rPr>
      <t>직접 입력한 값 또는 가정</t>
    </r>
    <r>
      <rPr>
        <sz val="10"/>
        <rFont val="Arial"/>
        <charset val="1"/>
      </rPr>
      <t xml:space="preserve">. </t>
    </r>
    <r>
      <rPr>
        <sz val="10"/>
        <rFont val="Noto Sans CJK SC"/>
        <family val="2"/>
      </rPr>
      <t>학생들이 바꿔가며 실습할 셀입니다</t>
    </r>
    <r>
      <rPr>
        <sz val="10"/>
        <rFont val="Arial"/>
        <charset val="1"/>
      </rPr>
      <t>.</t>
    </r>
  </si>
  <si>
    <t>검은색 글씨</t>
  </si>
  <si>
    <t>같은 시트 안에서 계산되는 수식</t>
  </si>
  <si>
    <t>초록색 글씨</t>
  </si>
  <si>
    <t>이 워크북의 다른 시트를 참조하는 수식</t>
  </si>
  <si>
    <t>노란색 음영</t>
  </si>
  <si>
    <r>
      <rPr>
        <sz val="10"/>
        <rFont val="Noto Sans CJK SC"/>
        <family val="2"/>
      </rPr>
      <t>핵심 가정 — 결과를 좌우하는 변수</t>
    </r>
    <r>
      <rPr>
        <sz val="10"/>
        <rFont val="Arial"/>
        <charset val="1"/>
      </rPr>
      <t xml:space="preserve">. </t>
    </r>
    <r>
      <rPr>
        <sz val="10"/>
        <rFont val="Noto Sans CJK SC"/>
        <family val="2"/>
      </rPr>
      <t>수업에서 가장 먼저 조정해 볼 셀입니다</t>
    </r>
    <r>
      <rPr>
        <sz val="10"/>
        <rFont val="Arial"/>
        <charset val="1"/>
      </rPr>
      <t>.</t>
    </r>
  </si>
  <si>
    <t>데이터 출처 — 반드시 확인</t>
  </si>
  <si>
    <t>Tier A</t>
  </si>
  <si>
    <r>
      <rPr>
        <sz val="10"/>
        <rFont val="Arial"/>
        <charset val="1"/>
      </rPr>
      <t>2026</t>
    </r>
    <r>
      <rPr>
        <sz val="10"/>
        <rFont val="Noto Sans CJK SC"/>
        <family val="2"/>
      </rPr>
      <t xml:space="preserve">년 </t>
    </r>
    <r>
      <rPr>
        <sz val="10"/>
        <rFont val="Arial"/>
        <charset val="1"/>
      </rPr>
      <t>8</t>
    </r>
    <r>
      <rPr>
        <sz val="10"/>
        <rFont val="Noto Sans CJK SC"/>
        <family val="2"/>
      </rPr>
      <t xml:space="preserve">월 </t>
    </r>
    <r>
      <rPr>
        <sz val="10"/>
        <rFont val="Arial"/>
        <charset val="1"/>
      </rPr>
      <t>5</t>
    </r>
    <r>
      <rPr>
        <sz val="10"/>
        <rFont val="Noto Sans CJK SC"/>
        <family val="2"/>
      </rPr>
      <t xml:space="preserve">일 </t>
    </r>
    <r>
      <rPr>
        <sz val="10"/>
        <rFont val="Arial"/>
        <charset val="1"/>
      </rPr>
      <t>SEC EDGAR</t>
    </r>
    <r>
      <rPr>
        <sz val="10"/>
        <rFont val="Noto Sans CJK SC"/>
        <family val="2"/>
      </rPr>
      <t xml:space="preserve">에서 조회한 </t>
    </r>
    <r>
      <rPr>
        <sz val="10"/>
        <rFont val="Arial"/>
        <charset val="1"/>
      </rPr>
      <t>1</t>
    </r>
    <r>
      <rPr>
        <sz val="10"/>
        <rFont val="Noto Sans CJK SC"/>
        <family val="2"/>
      </rPr>
      <t>차 공시자료에서 직접 인용</t>
    </r>
    <r>
      <rPr>
        <sz val="10"/>
        <rFont val="Arial"/>
        <charset val="1"/>
      </rPr>
      <t xml:space="preserve">. </t>
    </r>
    <r>
      <rPr>
        <sz val="10"/>
        <rFont val="Noto Sans CJK SC"/>
        <family val="2"/>
      </rPr>
      <t>그대로 사용 가능</t>
    </r>
    <r>
      <rPr>
        <sz val="10"/>
        <rFont val="Arial"/>
        <charset val="1"/>
      </rPr>
      <t>.</t>
    </r>
  </si>
  <si>
    <t>Tier B</t>
  </si>
  <si>
    <r>
      <rPr>
        <sz val="10"/>
        <rFont val="Noto Sans CJK SC"/>
        <family val="2"/>
      </rPr>
      <t xml:space="preserve">기업 </t>
    </r>
    <r>
      <rPr>
        <sz val="10"/>
        <rFont val="Arial"/>
        <charset val="1"/>
      </rPr>
      <t xml:space="preserve">IR </t>
    </r>
    <r>
      <rPr>
        <sz val="10"/>
        <rFont val="Noto Sans CJK SC"/>
        <family val="2"/>
      </rPr>
      <t>보도자료</t>
    </r>
    <r>
      <rPr>
        <sz val="10"/>
        <rFont val="Arial"/>
        <charset val="1"/>
      </rPr>
      <t xml:space="preserve">. </t>
    </r>
    <r>
      <rPr>
        <sz val="10"/>
        <rFont val="Noto Sans CJK SC"/>
        <family val="2"/>
      </rPr>
      <t xml:space="preserve">신뢰할 수 있으나 </t>
    </r>
    <r>
      <rPr>
        <sz val="10"/>
        <rFont val="Arial"/>
        <charset val="1"/>
      </rPr>
      <t>1</t>
    </r>
    <r>
      <rPr>
        <sz val="10"/>
        <rFont val="Noto Sans CJK SC"/>
        <family val="2"/>
      </rPr>
      <t xml:space="preserve">차 자료를 재가공한 </t>
    </r>
    <r>
      <rPr>
        <sz val="10"/>
        <rFont val="Arial"/>
        <charset val="1"/>
      </rPr>
      <t>2</t>
    </r>
    <r>
      <rPr>
        <sz val="10"/>
        <rFont val="Noto Sans CJK SC"/>
        <family val="2"/>
      </rPr>
      <t>차 자료</t>
    </r>
    <r>
      <rPr>
        <sz val="10"/>
        <rFont val="Arial"/>
        <charset val="1"/>
      </rPr>
      <t>.</t>
    </r>
  </si>
  <si>
    <t>Tier C</t>
  </si>
  <si>
    <r>
      <rPr>
        <sz val="10"/>
        <rFont val="Noto Sans CJK SC"/>
        <family val="2"/>
      </rPr>
      <t>원문을 재조회하지 않고 과거 공시자료에서 정리한 수치</t>
    </r>
    <r>
      <rPr>
        <sz val="10"/>
        <rFont val="Arial"/>
        <charset val="1"/>
      </rPr>
      <t xml:space="preserve">. </t>
    </r>
    <r>
      <rPr>
        <sz val="10"/>
        <rFont val="Noto Sans CJK SC"/>
        <family val="2"/>
      </rPr>
      <t xml:space="preserve">학생 배포 전 </t>
    </r>
    <r>
      <rPr>
        <sz val="10"/>
        <rFont val="Arial"/>
        <charset val="1"/>
      </rPr>
      <t xml:space="preserve">10-K(NVIDIA) </t>
    </r>
    <r>
      <rPr>
        <sz val="10"/>
        <rFont val="Noto Sans CJK SC"/>
        <family val="2"/>
      </rPr>
      <t xml:space="preserve">또는 </t>
    </r>
    <r>
      <rPr>
        <sz val="10"/>
        <rFont val="Arial"/>
        <charset val="1"/>
      </rPr>
      <t xml:space="preserve">DART </t>
    </r>
    <r>
      <rPr>
        <sz val="10"/>
        <rFont val="Noto Sans CJK SC"/>
        <family val="2"/>
      </rPr>
      <t>사업보고서</t>
    </r>
    <r>
      <rPr>
        <sz val="10"/>
        <rFont val="Arial"/>
        <charset val="1"/>
      </rPr>
      <t>(SK hynix)</t>
    </r>
    <r>
      <rPr>
        <sz val="10"/>
        <rFont val="Noto Sans CJK SC"/>
        <family val="2"/>
      </rPr>
      <t>와 반드시 대조 확인 바랍니다</t>
    </r>
    <r>
      <rPr>
        <sz val="10"/>
        <rFont val="Arial"/>
        <charset val="1"/>
      </rPr>
      <t>.</t>
    </r>
  </si>
  <si>
    <r>
      <rPr>
        <i/>
        <sz val="9"/>
        <color rgb="FF666666"/>
        <rFont val="Noto Sans CJK SC"/>
        <family val="2"/>
      </rPr>
      <t>원자료 탭의 각 연도에는 맨 아래 행에 출처 등급이 표시되어 있습니다</t>
    </r>
    <r>
      <rPr>
        <i/>
        <sz val="9"/>
        <color rgb="FF666666"/>
        <rFont val="Arial"/>
        <charset val="1"/>
      </rPr>
      <t xml:space="preserve">. </t>
    </r>
    <r>
      <rPr>
        <i/>
        <sz val="9"/>
        <color rgb="FF666666"/>
        <rFont val="Noto Sans CJK SC"/>
        <family val="2"/>
      </rPr>
      <t xml:space="preserve">요약하면 </t>
    </r>
    <r>
      <rPr>
        <i/>
        <sz val="9"/>
        <color rgb="FF666666"/>
        <rFont val="Arial"/>
        <charset val="1"/>
      </rPr>
      <t>NVIDIA</t>
    </r>
    <r>
      <rPr>
        <i/>
        <sz val="9"/>
        <color rgb="FF666666"/>
        <rFont val="Noto Sans CJK SC"/>
        <family val="2"/>
      </rPr>
      <t xml:space="preserve">는 최근 </t>
    </r>
    <r>
      <rPr>
        <i/>
        <sz val="9"/>
        <color rgb="FF666666"/>
        <rFont val="Arial"/>
        <charset val="1"/>
      </rPr>
      <t>2</t>
    </r>
    <r>
      <rPr>
        <i/>
        <sz val="9"/>
        <color rgb="FF666666"/>
        <rFont val="Noto Sans CJK SC"/>
        <family val="2"/>
      </rPr>
      <t>개 연도</t>
    </r>
    <r>
      <rPr>
        <i/>
        <sz val="9"/>
        <color rgb="FF666666"/>
        <rFont val="Arial"/>
        <charset val="1"/>
      </rPr>
      <t>, SK hynix</t>
    </r>
    <r>
      <rPr>
        <i/>
        <sz val="9"/>
        <color rgb="FF666666"/>
        <rFont val="Noto Sans CJK SC"/>
        <family val="2"/>
      </rPr>
      <t xml:space="preserve">는 최근 </t>
    </r>
    <r>
      <rPr>
        <i/>
        <sz val="9"/>
        <color rgb="FF666666"/>
        <rFont val="Arial"/>
        <charset val="1"/>
      </rPr>
      <t>3</t>
    </r>
    <r>
      <rPr>
        <i/>
        <sz val="9"/>
        <color rgb="FF666666"/>
        <rFont val="Noto Sans CJK SC"/>
        <family val="2"/>
      </rPr>
      <t xml:space="preserve">개 연도가 </t>
    </r>
    <r>
      <rPr>
        <i/>
        <sz val="9"/>
        <color rgb="FF666666"/>
        <rFont val="Arial"/>
        <charset val="1"/>
      </rPr>
      <t>Tier A</t>
    </r>
    <r>
      <rPr>
        <i/>
        <sz val="9"/>
        <color rgb="FF666666"/>
        <rFont val="Noto Sans CJK SC"/>
        <family val="2"/>
      </rPr>
      <t xml:space="preserve">이며 그 이전 연도는 </t>
    </r>
    <r>
      <rPr>
        <i/>
        <sz val="9"/>
        <color rgb="FF666666"/>
        <rFont val="Arial"/>
        <charset val="1"/>
      </rPr>
      <t>Tier C</t>
    </r>
    <r>
      <rPr>
        <i/>
        <sz val="9"/>
        <color rgb="FF666666"/>
        <rFont val="Noto Sans CJK SC"/>
        <family val="2"/>
      </rPr>
      <t>입니다</t>
    </r>
    <r>
      <rPr>
        <i/>
        <sz val="9"/>
        <color rgb="FF666666"/>
        <rFont val="Arial"/>
        <charset val="1"/>
      </rPr>
      <t>.</t>
    </r>
  </si>
  <si>
    <t>학생들에게 먼저 짚어줄 사항</t>
  </si>
  <si>
    <t>두 기업의 회계연도는 일치하지 않는다</t>
  </si>
  <si>
    <r>
      <rPr>
        <sz val="10"/>
        <rFont val="Arial"/>
        <charset val="1"/>
      </rPr>
      <t>NVIDIA</t>
    </r>
    <r>
      <rPr>
        <sz val="10"/>
        <rFont val="Noto Sans CJK SC"/>
        <family val="2"/>
      </rPr>
      <t xml:space="preserve">의 </t>
    </r>
    <r>
      <rPr>
        <sz val="10"/>
        <rFont val="Arial"/>
        <charset val="1"/>
      </rPr>
      <t>FY2026</t>
    </r>
    <r>
      <rPr>
        <sz val="10"/>
        <rFont val="Noto Sans CJK SC"/>
        <family val="2"/>
      </rPr>
      <t xml:space="preserve">은 </t>
    </r>
    <r>
      <rPr>
        <sz val="10"/>
        <rFont val="Arial"/>
        <charset val="1"/>
      </rPr>
      <t>2026</t>
    </r>
    <r>
      <rPr>
        <sz val="10"/>
        <rFont val="Noto Sans CJK SC"/>
        <family val="2"/>
      </rPr>
      <t xml:space="preserve">년 </t>
    </r>
    <r>
      <rPr>
        <sz val="10"/>
        <rFont val="Arial"/>
        <charset val="1"/>
      </rPr>
      <t>1</t>
    </r>
    <r>
      <rPr>
        <sz val="10"/>
        <rFont val="Noto Sans CJK SC"/>
        <family val="2"/>
      </rPr>
      <t xml:space="preserve">월 </t>
    </r>
    <r>
      <rPr>
        <sz val="10"/>
        <rFont val="Arial"/>
        <charset val="1"/>
      </rPr>
      <t>25</t>
    </r>
    <r>
      <rPr>
        <sz val="10"/>
        <rFont val="Noto Sans CJK SC"/>
        <family val="2"/>
      </rPr>
      <t>일에</t>
    </r>
    <r>
      <rPr>
        <sz val="10"/>
        <rFont val="Arial"/>
        <charset val="1"/>
      </rPr>
      <t>, SK hynix</t>
    </r>
    <r>
      <rPr>
        <sz val="10"/>
        <rFont val="Noto Sans CJK SC"/>
        <family val="2"/>
      </rPr>
      <t xml:space="preserve">의 </t>
    </r>
    <r>
      <rPr>
        <sz val="10"/>
        <rFont val="Arial"/>
        <charset val="1"/>
      </rPr>
      <t>2025</t>
    </r>
    <r>
      <rPr>
        <sz val="10"/>
        <rFont val="Noto Sans CJK SC"/>
        <family val="2"/>
      </rPr>
      <t xml:space="preserve">년은 </t>
    </r>
    <r>
      <rPr>
        <sz val="10"/>
        <rFont val="Arial"/>
        <charset val="1"/>
      </rPr>
      <t>2025</t>
    </r>
    <r>
      <rPr>
        <sz val="10"/>
        <rFont val="Noto Sans CJK SC"/>
        <family val="2"/>
      </rPr>
      <t xml:space="preserve">년 </t>
    </r>
    <r>
      <rPr>
        <sz val="10"/>
        <rFont val="Arial"/>
        <charset val="1"/>
      </rPr>
      <t>12</t>
    </r>
    <r>
      <rPr>
        <sz val="10"/>
        <rFont val="Noto Sans CJK SC"/>
        <family val="2"/>
      </rPr>
      <t xml:space="preserve">월 </t>
    </r>
    <r>
      <rPr>
        <sz val="10"/>
        <rFont val="Arial"/>
        <charset val="1"/>
      </rPr>
      <t>31</t>
    </r>
    <r>
      <rPr>
        <sz val="10"/>
        <rFont val="Noto Sans CJK SC"/>
        <family val="2"/>
      </rPr>
      <t>일에 종료되었습니다</t>
    </r>
    <r>
      <rPr>
        <sz val="10"/>
        <rFont val="Arial"/>
        <charset val="1"/>
      </rPr>
      <t xml:space="preserve">. </t>
    </r>
    <r>
      <rPr>
        <sz val="10"/>
        <rFont val="Noto Sans CJK SC"/>
        <family val="2"/>
      </rPr>
      <t>두 열은 약 한 달 차이가 있으며 동일한 기간이 아니므로 같은 기간처럼 제시해서는 안 됩니다</t>
    </r>
    <r>
      <rPr>
        <sz val="10"/>
        <rFont val="Arial"/>
        <charset val="1"/>
      </rPr>
      <t>.</t>
    </r>
  </si>
  <si>
    <t>공시된 자본적지출은 현금흐름표의 개별 항목이며 투자활동현금흐름 전체가 아니다</t>
  </si>
  <si>
    <r>
      <rPr>
        <sz val="10"/>
        <rFont val="Noto Sans CJK SC"/>
        <family val="2"/>
      </rPr>
      <t>투자활동현금흐름에는 자본적지출 외에 유가증권 취득</t>
    </r>
    <r>
      <rPr>
        <sz val="10"/>
        <rFont val="Arial"/>
        <charset val="1"/>
      </rPr>
      <t xml:space="preserve">, </t>
    </r>
    <r>
      <rPr>
        <sz val="10"/>
        <rFont val="Noto Sans CJK SC"/>
        <family val="2"/>
      </rPr>
      <t>사업결합</t>
    </r>
    <r>
      <rPr>
        <sz val="10"/>
        <rFont val="Arial"/>
        <charset val="1"/>
      </rPr>
      <t xml:space="preserve">, </t>
    </r>
    <r>
      <rPr>
        <sz val="10"/>
        <rFont val="Noto Sans CJK SC"/>
        <family val="2"/>
      </rPr>
      <t>지분투자가 함께 포함됩니다</t>
    </r>
    <r>
      <rPr>
        <sz val="10"/>
        <rFont val="Arial"/>
        <charset val="1"/>
      </rPr>
      <t xml:space="preserve">. </t>
    </r>
    <r>
      <rPr>
        <sz val="10"/>
        <rFont val="Noto Sans CJK SC"/>
        <family val="2"/>
      </rPr>
      <t>두 기업 모두 자본적지출을 별도로 공시합니다</t>
    </r>
    <r>
      <rPr>
        <sz val="10"/>
        <rFont val="Arial"/>
        <charset val="1"/>
      </rPr>
      <t>. NVIDIA</t>
    </r>
    <r>
      <rPr>
        <sz val="10"/>
        <rFont val="Noto Sans CJK SC"/>
        <family val="2"/>
      </rPr>
      <t>는 유형자산 및 무형자산 취득으로</t>
    </r>
    <r>
      <rPr>
        <sz val="10"/>
        <rFont val="Arial"/>
        <charset val="1"/>
      </rPr>
      <t>, SK hynix</t>
    </r>
    <r>
      <rPr>
        <sz val="10"/>
        <rFont val="Noto Sans CJK SC"/>
        <family val="2"/>
      </rPr>
      <t>는 증권신고서상 유형자산 취득 관련 현금유출로 표시하며</t>
    </r>
    <r>
      <rPr>
        <sz val="10"/>
        <rFont val="Arial"/>
        <charset val="1"/>
      </rPr>
      <t xml:space="preserve">, </t>
    </r>
    <r>
      <rPr>
        <sz val="10"/>
        <rFont val="Noto Sans CJK SC"/>
        <family val="2"/>
      </rPr>
      <t>본 자료는 이 수치를 사용했습니다</t>
    </r>
    <r>
      <rPr>
        <sz val="10"/>
        <rFont val="Arial"/>
        <charset val="1"/>
      </rPr>
      <t>.</t>
    </r>
  </si>
  <si>
    <t>두 기업 모두 최근 연도는 교과서적인 사례가 아니다</t>
  </si>
  <si>
    <r>
      <rPr>
        <sz val="10"/>
        <rFont val="Arial"/>
        <charset val="1"/>
      </rPr>
      <t>NVIDIA</t>
    </r>
    <r>
      <rPr>
        <sz val="10"/>
        <rFont val="Noto Sans CJK SC"/>
        <family val="2"/>
      </rPr>
      <t xml:space="preserve">의 </t>
    </r>
    <r>
      <rPr>
        <sz val="10"/>
        <rFont val="Arial"/>
        <charset val="1"/>
      </rPr>
      <t xml:space="preserve">FY2026 </t>
    </r>
    <r>
      <rPr>
        <sz val="10"/>
        <rFont val="Noto Sans CJK SC"/>
        <family val="2"/>
      </rPr>
      <t xml:space="preserve">당기순이익에는 지분증권 처분이익 </t>
    </r>
    <r>
      <rPr>
        <sz val="10"/>
        <rFont val="Arial"/>
        <charset val="1"/>
      </rPr>
      <t>89</t>
    </r>
    <r>
      <rPr>
        <sz val="10"/>
        <rFont val="Noto Sans CJK SC"/>
        <family val="2"/>
      </rPr>
      <t>억 달러가 포함되어 있고</t>
    </r>
    <r>
      <rPr>
        <sz val="10"/>
        <rFont val="Arial"/>
        <charset val="1"/>
      </rPr>
      <t>, SK hynix</t>
    </r>
    <r>
      <rPr>
        <sz val="10"/>
        <rFont val="Noto Sans CJK SC"/>
        <family val="2"/>
      </rPr>
      <t xml:space="preserve">의 </t>
    </r>
    <r>
      <rPr>
        <sz val="10"/>
        <rFont val="Arial"/>
        <charset val="1"/>
      </rPr>
      <t>2026</t>
    </r>
    <r>
      <rPr>
        <sz val="10"/>
        <rFont val="Noto Sans CJK SC"/>
        <family val="2"/>
      </rPr>
      <t xml:space="preserve">년 </t>
    </r>
    <r>
      <rPr>
        <sz val="10"/>
        <rFont val="Arial"/>
        <charset val="1"/>
      </rPr>
      <t>2</t>
    </r>
    <r>
      <rPr>
        <sz val="10"/>
        <rFont val="Noto Sans CJK SC"/>
        <family val="2"/>
      </rPr>
      <t xml:space="preserve">분기 당기순이익 </t>
    </r>
    <r>
      <rPr>
        <sz val="10"/>
        <rFont val="Arial"/>
        <charset val="1"/>
      </rPr>
      <t>93.9</t>
    </r>
    <r>
      <rPr>
        <sz val="10"/>
        <rFont val="Noto Sans CJK SC"/>
        <family val="2"/>
      </rPr>
      <t xml:space="preserve">조 원은 </t>
    </r>
    <r>
      <rPr>
        <sz val="10"/>
        <rFont val="Arial"/>
        <charset val="1"/>
      </rPr>
      <t xml:space="preserve">Kioxia </t>
    </r>
    <r>
      <rPr>
        <sz val="10"/>
        <rFont val="Noto Sans CJK SC"/>
        <family val="2"/>
      </rPr>
      <t>지분 매각이익 때문에 매출액을 초과합니다</t>
    </r>
    <r>
      <rPr>
        <sz val="10"/>
        <rFont val="Arial"/>
        <charset val="1"/>
      </rPr>
      <t>. FCFF</t>
    </r>
    <r>
      <rPr>
        <sz val="10"/>
        <rFont val="Noto Sans CJK SC"/>
        <family val="2"/>
      </rPr>
      <t>를 당기순이익이 아니라 영업이익과 영업활동현금흐름에서 출발시키는 이유가 바로 여기에 있습니다</t>
    </r>
    <r>
      <rPr>
        <sz val="10"/>
        <rFont val="Arial"/>
        <charset val="1"/>
      </rPr>
      <t>.</t>
    </r>
  </si>
  <si>
    <r>
      <rPr>
        <b/>
        <sz val="11"/>
        <color rgb="FF1F4899"/>
        <rFont val="Arial"/>
        <charset val="1"/>
      </rPr>
      <t>1</t>
    </r>
    <r>
      <rPr>
        <b/>
        <sz val="11"/>
        <color rgb="FF1F4899"/>
        <rFont val="Noto Sans CJK SC"/>
        <family val="2"/>
      </rPr>
      <t>차 출처</t>
    </r>
  </si>
  <si>
    <r>
      <rPr>
        <sz val="10"/>
        <rFont val="Arial"/>
        <charset val="1"/>
      </rPr>
      <t>NVIDIA FY2026(4</t>
    </r>
    <r>
      <rPr>
        <sz val="10"/>
        <rFont val="Noto Sans CJK SC"/>
        <family val="2"/>
      </rPr>
      <t>분기</t>
    </r>
    <r>
      <rPr>
        <sz val="10"/>
        <rFont val="Arial"/>
        <charset val="1"/>
      </rPr>
      <t xml:space="preserve">) </t>
    </r>
    <r>
      <rPr>
        <sz val="10"/>
        <rFont val="Noto Sans CJK SC"/>
        <family val="2"/>
      </rPr>
      <t>실적 — 손익계산서</t>
    </r>
    <r>
      <rPr>
        <sz val="10"/>
        <rFont val="Arial"/>
        <charset val="1"/>
      </rPr>
      <t>·</t>
    </r>
    <r>
      <rPr>
        <sz val="10"/>
        <rFont val="Noto Sans CJK SC"/>
        <family val="2"/>
      </rPr>
      <t>재무상태표</t>
    </r>
    <r>
      <rPr>
        <sz val="10"/>
        <rFont val="Arial"/>
        <charset val="1"/>
      </rPr>
      <t>·</t>
    </r>
    <r>
      <rPr>
        <sz val="10"/>
        <rFont val="Noto Sans CJK SC"/>
        <family val="2"/>
      </rPr>
      <t>현금흐름표 전문 포함</t>
    </r>
  </si>
  <si>
    <t>https://www.sec.gov/Archives/edgar/data/1045810/000104581026000019/q4fy26pr.htm</t>
  </si>
  <si>
    <r>
      <rPr>
        <sz val="10"/>
        <rFont val="Arial"/>
        <charset val="1"/>
      </rPr>
      <t>NVIDIA FY2027 1</t>
    </r>
    <r>
      <rPr>
        <sz val="10"/>
        <rFont val="Noto Sans CJK SC"/>
        <family val="2"/>
      </rPr>
      <t>분기 실적 — 손익계산서</t>
    </r>
    <r>
      <rPr>
        <sz val="10"/>
        <rFont val="Arial"/>
        <charset val="1"/>
      </rPr>
      <t>·</t>
    </r>
    <r>
      <rPr>
        <sz val="10"/>
        <rFont val="Noto Sans CJK SC"/>
        <family val="2"/>
      </rPr>
      <t>재무상태표</t>
    </r>
    <r>
      <rPr>
        <sz val="10"/>
        <rFont val="Arial"/>
        <charset val="1"/>
      </rPr>
      <t>·</t>
    </r>
    <r>
      <rPr>
        <sz val="10"/>
        <rFont val="Noto Sans CJK SC"/>
        <family val="2"/>
      </rPr>
      <t>현금흐름표 전문 포함</t>
    </r>
  </si>
  <si>
    <t>https://www.sec.gov/Archives/edgar/data/1045810/000104581026000051/q1fy27pr.htm</t>
  </si>
  <si>
    <r>
      <rPr>
        <sz val="10"/>
        <rFont val="Arial"/>
        <charset val="1"/>
      </rPr>
      <t xml:space="preserve">SK hynix Form 424B4 </t>
    </r>
    <r>
      <rPr>
        <sz val="10"/>
        <rFont val="Noto Sans CJK SC"/>
        <family val="2"/>
      </rPr>
      <t xml:space="preserve">증권신고서 </t>
    </r>
    <r>
      <rPr>
        <sz val="10"/>
        <rFont val="Arial"/>
        <charset val="1"/>
      </rPr>
      <t xml:space="preserve">(IFRS </t>
    </r>
    <r>
      <rPr>
        <sz val="10"/>
        <rFont val="Noto Sans CJK SC"/>
        <family val="2"/>
      </rPr>
      <t xml:space="preserve">감사받은 </t>
    </r>
    <r>
      <rPr>
        <sz val="10"/>
        <rFont val="Arial"/>
        <charset val="1"/>
      </rPr>
      <t>2023~2025</t>
    </r>
    <r>
      <rPr>
        <sz val="10"/>
        <rFont val="Noto Sans CJK SC"/>
        <family val="2"/>
      </rPr>
      <t xml:space="preserve">년 및 </t>
    </r>
    <r>
      <rPr>
        <sz val="10"/>
        <rFont val="Arial"/>
        <charset val="1"/>
      </rPr>
      <t>2026</t>
    </r>
    <r>
      <rPr>
        <sz val="10"/>
        <rFont val="Noto Sans CJK SC"/>
        <family val="2"/>
      </rPr>
      <t xml:space="preserve">년 </t>
    </r>
    <r>
      <rPr>
        <sz val="10"/>
        <rFont val="Arial"/>
        <charset val="1"/>
      </rPr>
      <t>1</t>
    </r>
    <r>
      <rPr>
        <sz val="10"/>
        <rFont val="Noto Sans CJK SC"/>
        <family val="2"/>
      </rPr>
      <t>분기</t>
    </r>
    <r>
      <rPr>
        <sz val="10"/>
        <rFont val="Arial"/>
        <charset val="1"/>
      </rPr>
      <t>)</t>
    </r>
  </si>
  <si>
    <t>https://www.sec.gov/Archives/edgar/data/2120882/000119312526299963/d32785d424b4.htm</t>
  </si>
  <si>
    <r>
      <rPr>
        <sz val="10"/>
        <rFont val="Arial"/>
        <charset val="1"/>
      </rPr>
      <t xml:space="preserve">SK hynix FY2025 </t>
    </r>
    <r>
      <rPr>
        <sz val="10"/>
        <rFont val="Noto Sans CJK SC"/>
        <family val="2"/>
      </rPr>
      <t>실적 보도자료</t>
    </r>
  </si>
  <si>
    <t>https://news.skhynix.com/en/sk-hynix-announces-fy25-financial-results/</t>
  </si>
  <si>
    <r>
      <rPr>
        <sz val="10"/>
        <rFont val="Arial"/>
        <charset val="1"/>
      </rPr>
      <t>SK hynix 2026</t>
    </r>
    <r>
      <rPr>
        <sz val="10"/>
        <rFont val="Noto Sans CJK SC"/>
        <family val="2"/>
      </rPr>
      <t xml:space="preserve">년 </t>
    </r>
    <r>
      <rPr>
        <sz val="10"/>
        <rFont val="Arial"/>
        <charset val="1"/>
      </rPr>
      <t>2</t>
    </r>
    <r>
      <rPr>
        <sz val="10"/>
        <rFont val="Noto Sans CJK SC"/>
        <family val="2"/>
      </rPr>
      <t>분기 실적 보도자료</t>
    </r>
  </si>
  <si>
    <t>https://news.skhynix.com/en/q2-2026-business-results/</t>
  </si>
  <si>
    <r>
      <rPr>
        <sz val="10"/>
        <rFont val="Arial"/>
        <charset val="1"/>
      </rPr>
      <t xml:space="preserve">SK hynix </t>
    </r>
    <r>
      <rPr>
        <sz val="10"/>
        <rFont val="Noto Sans CJK SC"/>
        <family val="2"/>
      </rPr>
      <t xml:space="preserve">자본적지출 추이 </t>
    </r>
    <r>
      <rPr>
        <sz val="10"/>
        <rFont val="Arial"/>
        <charset val="1"/>
      </rPr>
      <t>2021~2025</t>
    </r>
  </si>
  <si>
    <t>https://finbox.com/KOSE:A000660/explorer/capex/</t>
  </si>
  <si>
    <r>
      <rPr>
        <b/>
        <sz val="14"/>
        <color rgb="FF1F4899"/>
        <rFont val="Arial"/>
        <charset val="1"/>
      </rPr>
      <t>NVIDIA Corporation — 10</t>
    </r>
    <r>
      <rPr>
        <b/>
        <sz val="14"/>
        <color rgb="FF1F4899"/>
        <rFont val="Noto Sans CJK SC"/>
        <family val="2"/>
      </rPr>
      <t xml:space="preserve">개년 </t>
    </r>
    <r>
      <rPr>
        <b/>
        <sz val="14"/>
        <color rgb="FF1F4899"/>
        <rFont val="Arial"/>
        <charset val="1"/>
      </rPr>
      <t xml:space="preserve">FCFF </t>
    </r>
    <r>
      <rPr>
        <b/>
        <sz val="14"/>
        <color rgb="FF1F4899"/>
        <rFont val="Noto Sans CJK SC"/>
        <family val="2"/>
      </rPr>
      <t>입력자료</t>
    </r>
  </si>
  <si>
    <r>
      <rPr>
        <i/>
        <sz val="9"/>
        <color rgb="FF666666"/>
        <rFont val="Noto Sans CJK SC"/>
        <family val="2"/>
      </rPr>
      <t>단위</t>
    </r>
    <r>
      <rPr>
        <i/>
        <sz val="9"/>
        <color rgb="FF666666"/>
        <rFont val="Arial"/>
        <charset val="1"/>
      </rPr>
      <t xml:space="preserve">: </t>
    </r>
    <r>
      <rPr>
        <i/>
        <sz val="9"/>
        <color rgb="FF666666"/>
        <rFont val="Noto Sans CJK SC"/>
        <family val="2"/>
      </rPr>
      <t>백만 달러</t>
    </r>
    <r>
      <rPr>
        <i/>
        <sz val="9"/>
        <color rgb="FF666666"/>
        <rFont val="Arial"/>
        <charset val="1"/>
      </rPr>
      <t xml:space="preserve">(US$mm). </t>
    </r>
    <r>
      <rPr>
        <i/>
        <sz val="9"/>
        <color rgb="FF666666"/>
        <rFont val="Noto Sans CJK SC"/>
        <family val="2"/>
      </rPr>
      <t xml:space="preserve">회계연도는 </t>
    </r>
    <r>
      <rPr>
        <i/>
        <sz val="9"/>
        <color rgb="FF666666"/>
        <rFont val="Arial"/>
        <charset val="1"/>
      </rPr>
      <t>1</t>
    </r>
    <r>
      <rPr>
        <i/>
        <sz val="9"/>
        <color rgb="FF666666"/>
        <rFont val="Noto Sans CJK SC"/>
        <family val="2"/>
      </rPr>
      <t xml:space="preserve">월 마지막 일요일 종료 </t>
    </r>
    <r>
      <rPr>
        <i/>
        <sz val="9"/>
        <color rgb="FF666666"/>
        <rFont val="Arial"/>
        <charset val="1"/>
      </rPr>
      <t>(FY2026 = 2026</t>
    </r>
    <r>
      <rPr>
        <i/>
        <sz val="9"/>
        <color rgb="FF666666"/>
        <rFont val="Noto Sans CJK SC"/>
        <family val="2"/>
      </rPr>
      <t xml:space="preserve">년 </t>
    </r>
    <r>
      <rPr>
        <i/>
        <sz val="9"/>
        <color rgb="FF666666"/>
        <rFont val="Arial"/>
        <charset val="1"/>
      </rPr>
      <t>1</t>
    </r>
    <r>
      <rPr>
        <i/>
        <sz val="9"/>
        <color rgb="FF666666"/>
        <rFont val="Noto Sans CJK SC"/>
        <family val="2"/>
      </rPr>
      <t xml:space="preserve">월 </t>
    </r>
    <r>
      <rPr>
        <i/>
        <sz val="9"/>
        <color rgb="FF666666"/>
        <rFont val="Arial"/>
        <charset val="1"/>
      </rPr>
      <t>25</t>
    </r>
    <r>
      <rPr>
        <i/>
        <sz val="9"/>
        <color rgb="FF666666"/>
        <rFont val="Noto Sans CJK SC"/>
        <family val="2"/>
      </rPr>
      <t>일 종료</t>
    </r>
    <r>
      <rPr>
        <i/>
        <sz val="9"/>
        <color rgb="FF666666"/>
        <rFont val="Arial"/>
        <charset val="1"/>
      </rPr>
      <t>).</t>
    </r>
  </si>
  <si>
    <r>
      <rPr>
        <b/>
        <sz val="10"/>
        <color rgb="FFFFFFFF"/>
        <rFont val="Noto Sans CJK SC"/>
        <family val="2"/>
      </rPr>
      <t xml:space="preserve">회계연도 </t>
    </r>
    <r>
      <rPr>
        <b/>
        <sz val="10"/>
        <color rgb="FFFFFFFF"/>
        <rFont val="Arial"/>
        <charset val="1"/>
      </rPr>
      <t>(Fiscal year)</t>
    </r>
  </si>
  <si>
    <t>2017</t>
  </si>
  <si>
    <t>2018</t>
  </si>
  <si>
    <t>2019</t>
  </si>
  <si>
    <t>2020</t>
  </si>
  <si>
    <t>2021</t>
  </si>
  <si>
    <t>2022</t>
  </si>
  <si>
    <t>2023</t>
  </si>
  <si>
    <t>2024</t>
  </si>
  <si>
    <t>2025</t>
  </si>
  <si>
    <t>2026</t>
  </si>
  <si>
    <r>
      <rPr>
        <b/>
        <sz val="10"/>
        <color rgb="FFFFFFFF"/>
        <rFont val="Noto Sans CJK SC"/>
        <family val="2"/>
      </rPr>
      <t xml:space="preserve">등급 </t>
    </r>
    <r>
      <rPr>
        <b/>
        <sz val="10"/>
        <color rgb="FFFFFFFF"/>
        <rFont val="Arial"/>
        <charset val="1"/>
      </rPr>
      <t>(Tier)</t>
    </r>
  </si>
  <si>
    <r>
      <rPr>
        <b/>
        <sz val="10"/>
        <color rgb="FFFFFFFF"/>
        <rFont val="Noto Sans CJK SC"/>
        <family val="2"/>
      </rPr>
      <t xml:space="preserve">비고 </t>
    </r>
    <r>
      <rPr>
        <b/>
        <sz val="10"/>
        <color rgb="FFFFFFFF"/>
        <rFont val="Arial"/>
        <charset val="1"/>
      </rPr>
      <t>(Note)</t>
    </r>
  </si>
  <si>
    <t>손익계산서</t>
  </si>
  <si>
    <r>
      <rPr>
        <b/>
        <sz val="10"/>
        <rFont val="Noto Sans CJK SC"/>
        <family val="2"/>
      </rPr>
      <t xml:space="preserve">매출액 </t>
    </r>
    <r>
      <rPr>
        <b/>
        <sz val="10"/>
        <rFont val="Arial"/>
        <charset val="1"/>
      </rPr>
      <t>(Revenue)</t>
    </r>
  </si>
  <si>
    <r>
      <rPr>
        <sz val="10"/>
        <rFont val="Noto Sans CJK SC"/>
        <family val="2"/>
      </rPr>
      <t xml:space="preserve">매출총이익 </t>
    </r>
    <r>
      <rPr>
        <sz val="10"/>
        <rFont val="Arial"/>
        <charset val="1"/>
      </rPr>
      <t>(Gross profit)</t>
    </r>
  </si>
  <si>
    <r>
      <rPr>
        <sz val="10"/>
        <rFont val="Noto Sans CJK SC"/>
        <family val="2"/>
      </rPr>
      <t xml:space="preserve">영업비용 합계 </t>
    </r>
    <r>
      <rPr>
        <sz val="10"/>
        <rFont val="Arial"/>
        <charset val="1"/>
      </rPr>
      <t>(Total operating expenses)</t>
    </r>
  </si>
  <si>
    <r>
      <rPr>
        <b/>
        <sz val="10"/>
        <rFont val="Noto Sans CJK SC"/>
        <family val="2"/>
      </rPr>
      <t xml:space="preserve">영업이익 </t>
    </r>
    <r>
      <rPr>
        <b/>
        <sz val="10"/>
        <rFont val="Arial"/>
        <charset val="1"/>
      </rPr>
      <t>(Operating income (EBIT))</t>
    </r>
  </si>
  <si>
    <r>
      <rPr>
        <sz val="10"/>
        <rFont val="Noto Sans CJK SC"/>
        <family val="2"/>
      </rPr>
      <t xml:space="preserve">이자비용 </t>
    </r>
    <r>
      <rPr>
        <sz val="10"/>
        <rFont val="Arial"/>
        <charset val="1"/>
      </rPr>
      <t>(Interest expense)</t>
    </r>
  </si>
  <si>
    <r>
      <rPr>
        <i/>
        <sz val="9"/>
        <color rgb="FF666666"/>
        <rFont val="Arial"/>
        <charset val="1"/>
      </rPr>
      <t>FCFF</t>
    </r>
    <r>
      <rPr>
        <i/>
        <sz val="9"/>
        <color rgb="FF666666"/>
        <rFont val="Noto Sans CJK SC"/>
        <family val="2"/>
      </rPr>
      <t>에서 가산하는 항목</t>
    </r>
    <r>
      <rPr>
        <i/>
        <sz val="9"/>
        <color rgb="FF666666"/>
        <rFont val="Arial"/>
        <charset val="1"/>
      </rPr>
      <t xml:space="preserve">. IFRS </t>
    </r>
    <r>
      <rPr>
        <i/>
        <sz val="9"/>
        <color rgb="FF666666"/>
        <rFont val="Noto Sans CJK SC"/>
        <family val="2"/>
      </rPr>
      <t>적용기업은 분류가 다를 수 있습니다</t>
    </r>
    <r>
      <rPr>
        <i/>
        <sz val="9"/>
        <color rgb="FF666666"/>
        <rFont val="Arial"/>
        <charset val="1"/>
      </rPr>
      <t>.</t>
    </r>
  </si>
  <si>
    <r>
      <rPr>
        <sz val="10"/>
        <rFont val="Noto Sans CJK SC"/>
        <family val="2"/>
      </rPr>
      <t xml:space="preserve">법인세비용차감전순이익 </t>
    </r>
    <r>
      <rPr>
        <sz val="10"/>
        <rFont val="Arial"/>
        <charset val="1"/>
      </rPr>
      <t>(Pre-tax income)</t>
    </r>
  </si>
  <si>
    <r>
      <rPr>
        <sz val="10"/>
        <rFont val="Noto Sans CJK SC"/>
        <family val="2"/>
      </rPr>
      <t xml:space="preserve">법인세비용 </t>
    </r>
    <r>
      <rPr>
        <sz val="10"/>
        <rFont val="Arial"/>
        <charset val="1"/>
      </rPr>
      <t>(Income tax expense)</t>
    </r>
  </si>
  <si>
    <r>
      <rPr>
        <b/>
        <sz val="10"/>
        <rFont val="Noto Sans CJK SC"/>
        <family val="2"/>
      </rPr>
      <t xml:space="preserve">당기순이익 </t>
    </r>
    <r>
      <rPr>
        <b/>
        <sz val="10"/>
        <rFont val="Arial"/>
        <charset val="1"/>
      </rPr>
      <t>(Net income)</t>
    </r>
  </si>
  <si>
    <t>현금흐름표</t>
  </si>
  <si>
    <r>
      <rPr>
        <b/>
        <sz val="10"/>
        <rFont val="Noto Sans CJK SC"/>
        <family val="2"/>
      </rPr>
      <t xml:space="preserve">영업활동현금흐름 </t>
    </r>
    <r>
      <rPr>
        <b/>
        <sz val="10"/>
        <rFont val="Arial"/>
        <charset val="1"/>
      </rPr>
      <t>(Cash flow from operations (CFO))</t>
    </r>
  </si>
  <si>
    <r>
      <rPr>
        <sz val="10"/>
        <rFont val="Noto Sans CJK SC"/>
        <family val="2"/>
      </rPr>
      <t xml:space="preserve">자본적지출 </t>
    </r>
    <r>
      <rPr>
        <sz val="10"/>
        <rFont val="Arial"/>
        <charset val="1"/>
      </rPr>
      <t>(Capital expenditures)</t>
    </r>
  </si>
  <si>
    <r>
      <rPr>
        <i/>
        <sz val="9"/>
        <color rgb="FF666666"/>
        <rFont val="Noto Sans CJK SC"/>
        <family val="2"/>
      </rPr>
      <t>공시된 자본적지출 항목만 반영 — 투자활동 내 유가증권 취득과 사업결합은 제외</t>
    </r>
    <r>
      <rPr>
        <i/>
        <sz val="9"/>
        <color rgb="FF666666"/>
        <rFont val="Arial"/>
        <charset val="1"/>
      </rPr>
      <t>.</t>
    </r>
  </si>
  <si>
    <r>
      <rPr>
        <sz val="10"/>
        <rFont val="Noto Sans CJK SC"/>
        <family val="2"/>
      </rPr>
      <t>감가상각비</t>
    </r>
    <r>
      <rPr>
        <sz val="10"/>
        <rFont val="Arial"/>
        <charset val="1"/>
      </rPr>
      <t>·</t>
    </r>
    <r>
      <rPr>
        <sz val="10"/>
        <rFont val="Noto Sans CJK SC"/>
        <family val="2"/>
      </rPr>
      <t xml:space="preserve">무형자산상각비 </t>
    </r>
    <r>
      <rPr>
        <sz val="10"/>
        <rFont val="Arial"/>
        <charset val="1"/>
      </rPr>
      <t>(Depreciation &amp; amortisation)</t>
    </r>
  </si>
  <si>
    <r>
      <rPr>
        <sz val="10"/>
        <rFont val="Noto Sans CJK SC"/>
        <family val="2"/>
      </rPr>
      <t xml:space="preserve">주식기준보상비용 </t>
    </r>
    <r>
      <rPr>
        <sz val="10"/>
        <rFont val="Arial"/>
        <charset val="1"/>
      </rPr>
      <t>(Stock-based compensation)</t>
    </r>
  </si>
  <si>
    <r>
      <rPr>
        <i/>
        <sz val="9"/>
        <color rgb="FF666666"/>
        <rFont val="Noto Sans CJK SC"/>
        <family val="2"/>
      </rPr>
      <t>비현금항목으로 이미 영업활동현금흐름에 포함</t>
    </r>
    <r>
      <rPr>
        <i/>
        <sz val="9"/>
        <color rgb="FF666666"/>
        <rFont val="Arial"/>
        <charset val="1"/>
      </rPr>
      <t>. FCFF</t>
    </r>
    <r>
      <rPr>
        <i/>
        <sz val="9"/>
        <color rgb="FF666666"/>
        <rFont val="Noto Sans CJK SC"/>
        <family val="2"/>
      </rPr>
      <t>는 비용이 들지 않는 것으로 보지만 주주 입장은 그렇지 않다는 점을 짚어줄 필요가 있습니다</t>
    </r>
    <r>
      <rPr>
        <i/>
        <sz val="9"/>
        <color rgb="FF666666"/>
        <rFont val="Arial"/>
        <charset val="1"/>
      </rPr>
      <t>.</t>
    </r>
  </si>
  <si>
    <r>
      <rPr>
        <b/>
        <sz val="11"/>
        <color rgb="FF1F4899"/>
        <rFont val="Noto Sans CJK SC"/>
        <family val="2"/>
      </rPr>
      <t xml:space="preserve">재무상태표 </t>
    </r>
    <r>
      <rPr>
        <b/>
        <sz val="11"/>
        <color rgb="FF1F4899"/>
        <rFont val="Arial"/>
        <charset val="1"/>
      </rPr>
      <t>(</t>
    </r>
    <r>
      <rPr>
        <b/>
        <sz val="11"/>
        <color rgb="FF1F4899"/>
        <rFont val="Noto Sans CJK SC"/>
        <family val="2"/>
      </rPr>
      <t>기말</t>
    </r>
    <r>
      <rPr>
        <b/>
        <sz val="11"/>
        <color rgb="FF1F4899"/>
        <rFont val="Arial"/>
        <charset val="1"/>
      </rPr>
      <t>)</t>
    </r>
  </si>
  <si>
    <r>
      <rPr>
        <sz val="10"/>
        <rFont val="Noto Sans CJK SC"/>
        <family val="2"/>
      </rPr>
      <t xml:space="preserve">자산총계 </t>
    </r>
    <r>
      <rPr>
        <sz val="10"/>
        <rFont val="Arial"/>
        <charset val="1"/>
      </rPr>
      <t>(Total assets)</t>
    </r>
  </si>
  <si>
    <r>
      <rPr>
        <sz val="10"/>
        <rFont val="Noto Sans CJK SC"/>
        <family val="2"/>
      </rPr>
      <t xml:space="preserve">현금및유가증권 </t>
    </r>
    <r>
      <rPr>
        <sz val="10"/>
        <rFont val="Arial"/>
        <charset val="1"/>
      </rPr>
      <t>(Cash &amp; marketable securities)</t>
    </r>
  </si>
  <si>
    <r>
      <rPr>
        <sz val="10"/>
        <rFont val="Noto Sans CJK SC"/>
        <family val="2"/>
      </rPr>
      <t xml:space="preserve">단기차입금 </t>
    </r>
    <r>
      <rPr>
        <sz val="10"/>
        <rFont val="Arial"/>
        <charset val="1"/>
      </rPr>
      <t>(Short-term borrowings)</t>
    </r>
  </si>
  <si>
    <r>
      <rPr>
        <sz val="10"/>
        <rFont val="Noto Sans CJK SC"/>
        <family val="2"/>
      </rPr>
      <t xml:space="preserve">장기차입금 </t>
    </r>
    <r>
      <rPr>
        <sz val="10"/>
        <rFont val="Arial"/>
        <charset val="1"/>
      </rPr>
      <t>(Long-term borrowings)</t>
    </r>
  </si>
  <si>
    <r>
      <rPr>
        <b/>
        <sz val="10"/>
        <rFont val="Noto Sans CJK SC"/>
        <family val="2"/>
      </rPr>
      <t xml:space="preserve">총차입금 </t>
    </r>
    <r>
      <rPr>
        <b/>
        <sz val="10"/>
        <rFont val="Arial"/>
        <charset val="1"/>
      </rPr>
      <t>(Total debt)</t>
    </r>
  </si>
  <si>
    <r>
      <rPr>
        <sz val="10"/>
        <rFont val="Noto Sans CJK SC"/>
        <family val="2"/>
      </rPr>
      <t>순차입금</t>
    </r>
    <r>
      <rPr>
        <sz val="10"/>
        <rFont val="Arial"/>
        <charset val="1"/>
      </rPr>
      <t>(</t>
    </r>
    <r>
      <rPr>
        <sz val="10"/>
        <rFont val="Noto Sans CJK SC"/>
        <family val="2"/>
      </rPr>
      <t>순현금</t>
    </r>
    <r>
      <rPr>
        <sz val="10"/>
        <rFont val="Arial"/>
        <charset val="1"/>
      </rPr>
      <t>) (Net debt (cash))</t>
    </r>
  </si>
  <si>
    <r>
      <rPr>
        <b/>
        <sz val="10"/>
        <rFont val="Noto Sans CJK SC"/>
        <family val="2"/>
      </rPr>
      <t xml:space="preserve">자본총계 </t>
    </r>
    <r>
      <rPr>
        <b/>
        <sz val="10"/>
        <rFont val="Arial"/>
        <charset val="1"/>
      </rPr>
      <t>(Total equity)</t>
    </r>
  </si>
  <si>
    <r>
      <rPr>
        <sz val="10"/>
        <rFont val="Noto Sans CJK SC"/>
        <family val="2"/>
      </rPr>
      <t xml:space="preserve">발행주식수 </t>
    </r>
    <r>
      <rPr>
        <sz val="10"/>
        <rFont val="Arial"/>
        <charset val="1"/>
      </rPr>
      <t>(Shares outstanding (m))</t>
    </r>
  </si>
  <si>
    <t>산출 비율 — 전부 수식이며 직접 입력한 값 없음</t>
  </si>
  <si>
    <r>
      <rPr>
        <sz val="10"/>
        <rFont val="Noto Sans CJK SC"/>
        <family val="2"/>
      </rPr>
      <t xml:space="preserve">매출액 증가율 </t>
    </r>
    <r>
      <rPr>
        <sz val="10"/>
        <rFont val="Arial"/>
        <charset val="1"/>
      </rPr>
      <t>(Revenue growth)</t>
    </r>
  </si>
  <si>
    <r>
      <rPr>
        <sz val="10"/>
        <rFont val="Noto Sans CJK SC"/>
        <family val="2"/>
      </rPr>
      <t xml:space="preserve">영업이익률 </t>
    </r>
    <r>
      <rPr>
        <sz val="10"/>
        <rFont val="Arial"/>
        <charset val="1"/>
      </rPr>
      <t>(Operating margin)</t>
    </r>
  </si>
  <si>
    <r>
      <rPr>
        <sz val="10"/>
        <rFont val="Noto Sans CJK SC"/>
        <family val="2"/>
      </rPr>
      <t xml:space="preserve">순이익률 </t>
    </r>
    <r>
      <rPr>
        <sz val="10"/>
        <rFont val="Arial"/>
        <charset val="1"/>
      </rPr>
      <t>(Net margin)</t>
    </r>
  </si>
  <si>
    <r>
      <rPr>
        <sz val="10"/>
        <rFont val="Noto Sans CJK SC"/>
        <family val="2"/>
      </rPr>
      <t xml:space="preserve">유효법인세율 </t>
    </r>
    <r>
      <rPr>
        <sz val="10"/>
        <rFont val="Arial"/>
        <charset val="1"/>
      </rPr>
      <t>(Effective tax rate)</t>
    </r>
  </si>
  <si>
    <r>
      <rPr>
        <i/>
        <sz val="9"/>
        <color rgb="FF666666"/>
        <rFont val="Noto Sans CJK SC"/>
        <family val="2"/>
      </rPr>
      <t>결손 연도에는 음수나 비정상적 값이 나타납니다</t>
    </r>
    <r>
      <rPr>
        <i/>
        <sz val="9"/>
        <color rgb="FF666666"/>
        <rFont val="Arial"/>
        <charset val="1"/>
      </rPr>
      <t xml:space="preserve">. </t>
    </r>
    <r>
      <rPr>
        <i/>
        <sz val="9"/>
        <color rgb="FF666666"/>
        <rFont val="Noto Sans CJK SC"/>
        <family val="2"/>
      </rPr>
      <t>모형에서 정상화 세율을 쓰는 이유입니다</t>
    </r>
    <r>
      <rPr>
        <i/>
        <sz val="9"/>
        <color rgb="FF666666"/>
        <rFont val="Arial"/>
        <charset val="1"/>
      </rPr>
      <t>.</t>
    </r>
  </si>
  <si>
    <r>
      <rPr>
        <sz val="10"/>
        <rFont val="Noto Sans CJK SC"/>
        <family val="2"/>
      </rPr>
      <t>자본적지출</t>
    </r>
    <r>
      <rPr>
        <sz val="10"/>
        <rFont val="Arial"/>
        <charset val="1"/>
      </rPr>
      <t>/</t>
    </r>
    <r>
      <rPr>
        <sz val="10"/>
        <rFont val="Noto Sans CJK SC"/>
        <family val="2"/>
      </rPr>
      <t xml:space="preserve">매출액 </t>
    </r>
    <r>
      <rPr>
        <sz val="10"/>
        <rFont val="Arial"/>
        <charset val="1"/>
      </rPr>
      <t>(Capex / revenue)</t>
    </r>
  </si>
  <si>
    <r>
      <rPr>
        <sz val="10"/>
        <rFont val="Noto Sans CJK SC"/>
        <family val="2"/>
      </rPr>
      <t>자본적지출</t>
    </r>
    <r>
      <rPr>
        <sz val="10"/>
        <rFont val="Arial"/>
        <charset val="1"/>
      </rPr>
      <t>/</t>
    </r>
    <r>
      <rPr>
        <sz val="10"/>
        <rFont val="Noto Sans CJK SC"/>
        <family val="2"/>
      </rPr>
      <t xml:space="preserve">감가상각비 </t>
    </r>
    <r>
      <rPr>
        <sz val="10"/>
        <rFont val="Arial"/>
        <charset val="1"/>
      </rPr>
      <t>(Capex / D&amp;A)</t>
    </r>
  </si>
  <si>
    <r>
      <rPr>
        <i/>
        <sz val="9"/>
        <color rgb="FF666666"/>
        <rFont val="Arial"/>
        <charset val="1"/>
      </rPr>
      <t>1.0</t>
    </r>
    <r>
      <rPr>
        <i/>
        <sz val="9"/>
        <color rgb="FF666666"/>
        <rFont val="Noto Sans CJK SC"/>
        <family val="2"/>
      </rPr>
      <t>배를 넘으면 자산을 유지하는 수준을 넘어 확장하고 있다는 뜻입니다</t>
    </r>
    <r>
      <rPr>
        <i/>
        <sz val="9"/>
        <color rgb="FF666666"/>
        <rFont val="Arial"/>
        <charset val="1"/>
      </rPr>
      <t>.</t>
    </r>
  </si>
  <si>
    <r>
      <rPr>
        <b/>
        <sz val="11"/>
        <color rgb="FF1F4899"/>
        <rFont val="Arial"/>
        <charset val="1"/>
      </rPr>
      <t xml:space="preserve">FCFF </t>
    </r>
    <r>
      <rPr>
        <b/>
        <sz val="11"/>
        <color rgb="FF1F4899"/>
        <rFont val="Noto Sans CJK SC"/>
        <family val="2"/>
      </rPr>
      <t xml:space="preserve">산출 — </t>
    </r>
    <r>
      <rPr>
        <b/>
        <sz val="11"/>
        <color rgb="FF1F4899"/>
        <rFont val="Arial"/>
        <charset val="1"/>
      </rPr>
      <t xml:space="preserve">FCFF = </t>
    </r>
    <r>
      <rPr>
        <b/>
        <sz val="11"/>
        <color rgb="FF1F4899"/>
        <rFont val="Noto Sans CJK SC"/>
        <family val="2"/>
      </rPr>
      <t xml:space="preserve">영업활동현금흐름 </t>
    </r>
    <r>
      <rPr>
        <b/>
        <sz val="11"/>
        <color rgb="FF1F4899"/>
        <rFont val="Arial"/>
        <charset val="1"/>
      </rPr>
      <t xml:space="preserve">+ </t>
    </r>
    <r>
      <rPr>
        <b/>
        <sz val="11"/>
        <color rgb="FF1F4899"/>
        <rFont val="Noto Sans CJK SC"/>
        <family val="2"/>
      </rPr>
      <t xml:space="preserve">이자비용 </t>
    </r>
    <r>
      <rPr>
        <b/>
        <sz val="11"/>
        <color rgb="FF1F4899"/>
        <rFont val="Arial"/>
        <charset val="1"/>
      </rPr>
      <t xml:space="preserve">x (1 - t) - </t>
    </r>
    <r>
      <rPr>
        <b/>
        <sz val="11"/>
        <color rgb="FF1F4899"/>
        <rFont val="Noto Sans CJK SC"/>
        <family val="2"/>
      </rPr>
      <t>자본적지출</t>
    </r>
  </si>
  <si>
    <r>
      <rPr>
        <b/>
        <sz val="10"/>
        <rFont val="Noto Sans CJK SC"/>
        <family val="2"/>
      </rPr>
      <t>적용 법인세율</t>
    </r>
    <r>
      <rPr>
        <b/>
        <sz val="10"/>
        <rFont val="Arial"/>
        <charset val="1"/>
      </rPr>
      <t>(</t>
    </r>
    <r>
      <rPr>
        <b/>
        <sz val="10"/>
        <rFont val="Noto Sans CJK SC"/>
        <family val="2"/>
      </rPr>
      <t>정상화</t>
    </r>
    <r>
      <rPr>
        <b/>
        <sz val="10"/>
        <rFont val="Arial"/>
        <charset val="1"/>
      </rPr>
      <t>) (Normalised tax rate used)</t>
    </r>
  </si>
  <si>
    <r>
      <rPr>
        <i/>
        <sz val="9"/>
        <color rgb="FF666666"/>
        <rFont val="Noto Sans CJK SC"/>
        <family val="2"/>
      </rPr>
      <t>법정세율에 준하는 값</t>
    </r>
    <r>
      <rPr>
        <i/>
        <sz val="9"/>
        <color rgb="FF666666"/>
        <rFont val="Arial"/>
        <charset val="1"/>
      </rPr>
      <t xml:space="preserve">. </t>
    </r>
    <r>
      <rPr>
        <i/>
        <sz val="9"/>
        <color rgb="FF666666"/>
        <rFont val="Noto Sans CJK SC"/>
        <family val="2"/>
      </rPr>
      <t>자유롭게 수정하십시오</t>
    </r>
    <r>
      <rPr>
        <i/>
        <sz val="9"/>
        <color rgb="FF666666"/>
        <rFont val="Arial"/>
        <charset val="1"/>
      </rPr>
      <t xml:space="preserve">. </t>
    </r>
    <r>
      <rPr>
        <i/>
        <sz val="9"/>
        <color rgb="FF666666"/>
        <rFont val="Noto Sans CJK SC"/>
        <family val="2"/>
      </rPr>
      <t xml:space="preserve">이자 절세효과가 </t>
    </r>
    <r>
      <rPr>
        <i/>
        <sz val="9"/>
        <color rgb="FF666666"/>
        <rFont val="Arial"/>
        <charset val="1"/>
      </rPr>
      <t>FCFF</t>
    </r>
    <r>
      <rPr>
        <i/>
        <sz val="9"/>
        <color rgb="FF666666"/>
        <rFont val="Noto Sans CJK SC"/>
        <family val="2"/>
      </rPr>
      <t>를 실제로 얼마나 적게 움직이는지 보여주는 셀입니다</t>
    </r>
    <r>
      <rPr>
        <i/>
        <sz val="9"/>
        <color rgb="FF666666"/>
        <rFont val="Arial"/>
        <charset val="1"/>
      </rPr>
      <t>.</t>
    </r>
  </si>
  <si>
    <r>
      <rPr>
        <sz val="10"/>
        <rFont val="Noto Sans CJK SC"/>
        <family val="2"/>
      </rPr>
      <t xml:space="preserve">  이자비용 </t>
    </r>
    <r>
      <rPr>
        <sz val="10"/>
        <rFont val="Arial"/>
        <charset val="1"/>
      </rPr>
      <t>x (1 - t) (Interest x (1 - t))</t>
    </r>
  </si>
  <si>
    <r>
      <rPr>
        <b/>
        <sz val="10"/>
        <rFont val="Noto Sans CJK SC"/>
        <family val="2"/>
      </rPr>
      <t xml:space="preserve">기업잉여현금흐름 </t>
    </r>
    <r>
      <rPr>
        <b/>
        <sz val="10"/>
        <rFont val="Arial"/>
        <charset val="1"/>
      </rPr>
      <t>(FCFF)</t>
    </r>
  </si>
  <si>
    <r>
      <rPr>
        <sz val="10"/>
        <rFont val="Arial"/>
        <charset val="1"/>
      </rPr>
      <t xml:space="preserve">FCFF </t>
    </r>
    <r>
      <rPr>
        <sz val="10"/>
        <rFont val="Noto Sans CJK SC"/>
        <family val="2"/>
      </rPr>
      <t xml:space="preserve">마진 </t>
    </r>
    <r>
      <rPr>
        <sz val="10"/>
        <rFont val="Arial"/>
        <charset val="1"/>
      </rPr>
      <t>(FCFF margin)</t>
    </r>
  </si>
  <si>
    <r>
      <rPr>
        <sz val="10"/>
        <rFont val="Noto Sans CJK SC"/>
        <family val="2"/>
      </rPr>
      <t>참고</t>
    </r>
    <r>
      <rPr>
        <sz val="10"/>
        <rFont val="Arial"/>
        <charset val="1"/>
      </rPr>
      <t xml:space="preserve">: </t>
    </r>
    <r>
      <rPr>
        <sz val="10"/>
        <rFont val="Noto Sans CJK SC"/>
        <family val="2"/>
      </rPr>
      <t xml:space="preserve">세후영업이익 </t>
    </r>
    <r>
      <rPr>
        <sz val="10"/>
        <rFont val="Arial"/>
        <charset val="1"/>
      </rPr>
      <t>(Memo: NOPAT = EBIT x (1 - t))</t>
    </r>
  </si>
  <si>
    <r>
      <rPr>
        <sz val="10"/>
        <rFont val="Noto Sans CJK SC"/>
        <family val="2"/>
      </rPr>
      <t>참고</t>
    </r>
    <r>
      <rPr>
        <sz val="10"/>
        <rFont val="Arial"/>
        <charset val="1"/>
      </rPr>
      <t xml:space="preserve">: NOPAT </t>
    </r>
    <r>
      <rPr>
        <sz val="10"/>
        <rFont val="Noto Sans CJK SC"/>
        <family val="2"/>
      </rPr>
      <t xml:space="preserve">방식 </t>
    </r>
    <r>
      <rPr>
        <sz val="10"/>
        <rFont val="Arial"/>
        <charset val="1"/>
      </rPr>
      <t>FCFF (Memo: FCFF via NOPAT route)</t>
    </r>
  </si>
  <si>
    <r>
      <rPr>
        <i/>
        <sz val="9"/>
        <color rgb="FF666666"/>
        <rFont val="Noto Sans CJK SC"/>
        <family val="2"/>
      </rPr>
      <t>운전자본 증감을 반영하지 않으므로 영업활동현금흐름 방식과 일치하지 않습니다</t>
    </r>
    <r>
      <rPr>
        <i/>
        <sz val="9"/>
        <color rgb="FF666666"/>
        <rFont val="Arial"/>
        <charset val="1"/>
      </rPr>
      <t xml:space="preserve">. </t>
    </r>
    <r>
      <rPr>
        <i/>
        <sz val="9"/>
        <color rgb="FF666666"/>
        <rFont val="Noto Sans CJK SC"/>
        <family val="2"/>
      </rPr>
      <t>그 차이가 곧 운전자본 투자액이며</t>
    </r>
    <r>
      <rPr>
        <i/>
        <sz val="9"/>
        <color rgb="FF666666"/>
        <rFont val="Arial"/>
        <charset val="1"/>
      </rPr>
      <t xml:space="preserve">, </t>
    </r>
    <r>
      <rPr>
        <i/>
        <sz val="9"/>
        <color rgb="FF666666"/>
        <rFont val="Noto Sans CJK SC"/>
        <family val="2"/>
      </rPr>
      <t>슬라이드 한 장으로 다룰 만한 주제입니다</t>
    </r>
    <r>
      <rPr>
        <i/>
        <sz val="9"/>
        <color rgb="FF666666"/>
        <rFont val="Arial"/>
        <charset val="1"/>
      </rPr>
      <t>.</t>
    </r>
  </si>
  <si>
    <r>
      <rPr>
        <b/>
        <sz val="10"/>
        <rFont val="Noto Sans CJK SC"/>
        <family val="2"/>
      </rPr>
      <t xml:space="preserve">연도별 출처 등급 </t>
    </r>
    <r>
      <rPr>
        <b/>
        <sz val="10"/>
        <rFont val="Arial"/>
        <charset val="1"/>
      </rPr>
      <t>(Provenance tier by year)</t>
    </r>
  </si>
  <si>
    <t>C</t>
  </si>
  <si>
    <t>A</t>
  </si>
  <si>
    <r>
      <rPr>
        <i/>
        <sz val="9"/>
        <color rgb="FF666666"/>
        <rFont val="Arial"/>
        <charset val="1"/>
      </rPr>
      <t>A = 1</t>
    </r>
    <r>
      <rPr>
        <i/>
        <sz val="9"/>
        <color rgb="FF666666"/>
        <rFont val="Noto Sans CJK SC"/>
        <family val="2"/>
      </rPr>
      <t xml:space="preserve">차 공시자료 </t>
    </r>
    <r>
      <rPr>
        <i/>
        <sz val="9"/>
        <color rgb="FF666666"/>
        <rFont val="Arial"/>
        <charset val="1"/>
      </rPr>
      <t xml:space="preserve">· B = IR </t>
    </r>
    <r>
      <rPr>
        <i/>
        <sz val="9"/>
        <color rgb="FF666666"/>
        <rFont val="Noto Sans CJK SC"/>
        <family val="2"/>
      </rPr>
      <t xml:space="preserve">보도자료 </t>
    </r>
    <r>
      <rPr>
        <i/>
        <sz val="9"/>
        <color rgb="FF666666"/>
        <rFont val="Arial"/>
        <charset val="1"/>
      </rPr>
      <t xml:space="preserve">· C = </t>
    </r>
    <r>
      <rPr>
        <i/>
        <sz val="9"/>
        <color rgb="FF666666"/>
        <rFont val="Noto Sans CJK SC"/>
        <family val="2"/>
      </rPr>
      <t>사용 전 확인 필요</t>
    </r>
  </si>
  <si>
    <r>
      <rPr>
        <b/>
        <sz val="14"/>
        <color rgb="FF1F4899"/>
        <rFont val="Arial"/>
        <charset val="1"/>
      </rPr>
      <t>SK hynix Inc. — 10</t>
    </r>
    <r>
      <rPr>
        <b/>
        <sz val="14"/>
        <color rgb="FF1F4899"/>
        <rFont val="Noto Sans CJK SC"/>
        <family val="2"/>
      </rPr>
      <t xml:space="preserve">개년 </t>
    </r>
    <r>
      <rPr>
        <b/>
        <sz val="14"/>
        <color rgb="FF1F4899"/>
        <rFont val="Arial"/>
        <charset val="1"/>
      </rPr>
      <t xml:space="preserve">FCFF </t>
    </r>
    <r>
      <rPr>
        <b/>
        <sz val="14"/>
        <color rgb="FF1F4899"/>
        <rFont val="Noto Sans CJK SC"/>
        <family val="2"/>
      </rPr>
      <t>입력자료</t>
    </r>
  </si>
  <si>
    <r>
      <rPr>
        <i/>
        <sz val="9"/>
        <color rgb="FF666666"/>
        <rFont val="Noto Sans CJK SC"/>
        <family val="2"/>
      </rPr>
      <t>단위</t>
    </r>
    <r>
      <rPr>
        <i/>
        <sz val="9"/>
        <color rgb="FF666666"/>
        <rFont val="Arial"/>
        <charset val="1"/>
      </rPr>
      <t xml:space="preserve">: </t>
    </r>
    <r>
      <rPr>
        <i/>
        <sz val="9"/>
        <color rgb="FF666666"/>
        <rFont val="Noto Sans CJK SC"/>
        <family val="2"/>
      </rPr>
      <t>십억 원</t>
    </r>
    <r>
      <rPr>
        <i/>
        <sz val="9"/>
        <color rgb="FF666666"/>
        <rFont val="Arial"/>
        <charset val="1"/>
      </rPr>
      <t>(1,000 = 1</t>
    </r>
    <r>
      <rPr>
        <i/>
        <sz val="9"/>
        <color rgb="FF666666"/>
        <rFont val="Noto Sans CJK SC"/>
        <family val="2"/>
      </rPr>
      <t>조 원</t>
    </r>
    <r>
      <rPr>
        <i/>
        <sz val="9"/>
        <color rgb="FF666666"/>
        <rFont val="Arial"/>
        <charset val="1"/>
      </rPr>
      <t xml:space="preserve">). K-IFRS </t>
    </r>
    <r>
      <rPr>
        <i/>
        <sz val="9"/>
        <color rgb="FF666666"/>
        <rFont val="Noto Sans CJK SC"/>
        <family val="2"/>
      </rPr>
      <t>연결기준</t>
    </r>
    <r>
      <rPr>
        <i/>
        <sz val="9"/>
        <color rgb="FF666666"/>
        <rFont val="Arial"/>
        <charset val="1"/>
      </rPr>
      <t>, 12</t>
    </r>
    <r>
      <rPr>
        <i/>
        <sz val="9"/>
        <color rgb="FF666666"/>
        <rFont val="Noto Sans CJK SC"/>
        <family val="2"/>
      </rPr>
      <t xml:space="preserve">월 </t>
    </r>
    <r>
      <rPr>
        <i/>
        <sz val="9"/>
        <color rgb="FF666666"/>
        <rFont val="Arial"/>
        <charset val="1"/>
      </rPr>
      <t>31</t>
    </r>
    <r>
      <rPr>
        <i/>
        <sz val="9"/>
        <color rgb="FF666666"/>
        <rFont val="Noto Sans CJK SC"/>
        <family val="2"/>
      </rPr>
      <t>일 결산</t>
    </r>
    <r>
      <rPr>
        <i/>
        <sz val="9"/>
        <color rgb="FF666666"/>
        <rFont val="Arial"/>
        <charset val="1"/>
      </rPr>
      <t>.</t>
    </r>
  </si>
  <si>
    <t>2016</t>
  </si>
  <si>
    <r>
      <rPr>
        <sz val="10"/>
        <rFont val="Noto Sans CJK SC"/>
        <family val="2"/>
      </rPr>
      <t xml:space="preserve">판매비와관리비 </t>
    </r>
    <r>
      <rPr>
        <sz val="10"/>
        <rFont val="Arial"/>
        <charset val="1"/>
      </rPr>
      <t>(Selling &amp; administrative expenses)</t>
    </r>
  </si>
  <si>
    <r>
      <rPr>
        <sz val="10"/>
        <rFont val="Noto Sans CJK SC"/>
        <family val="2"/>
      </rPr>
      <t xml:space="preserve">경상연구개발비 </t>
    </r>
    <r>
      <rPr>
        <sz val="10"/>
        <rFont val="Arial"/>
        <charset val="1"/>
      </rPr>
      <t>(Research &amp; development expenses)</t>
    </r>
  </si>
  <si>
    <r>
      <rPr>
        <sz val="10"/>
        <rFont val="Noto Sans CJK SC"/>
        <family val="2"/>
      </rPr>
      <t>이자비용</t>
    </r>
    <r>
      <rPr>
        <sz val="10"/>
        <rFont val="Arial"/>
        <charset val="1"/>
      </rPr>
      <t>(</t>
    </r>
    <r>
      <rPr>
        <sz val="10"/>
        <rFont val="Noto Sans CJK SC"/>
        <family val="2"/>
      </rPr>
      <t>추정</t>
    </r>
    <r>
      <rPr>
        <sz val="10"/>
        <rFont val="Arial"/>
        <charset val="1"/>
      </rPr>
      <t>) (Interest expense (approx.))</t>
    </r>
  </si>
  <si>
    <r>
      <rPr>
        <i/>
        <sz val="9"/>
        <color rgb="FF666666"/>
        <rFont val="Arial"/>
        <charset val="1"/>
      </rPr>
      <t>SK hynix</t>
    </r>
    <r>
      <rPr>
        <i/>
        <sz val="9"/>
        <color rgb="FF666666"/>
        <rFont val="Noto Sans CJK SC"/>
        <family val="2"/>
      </rPr>
      <t>는 이자비용을 별도 표시하지 않고 금융수익</t>
    </r>
    <r>
      <rPr>
        <i/>
        <sz val="9"/>
        <color rgb="FF666666"/>
        <rFont val="Arial"/>
        <charset val="1"/>
      </rPr>
      <t>·</t>
    </r>
    <r>
      <rPr>
        <i/>
        <sz val="9"/>
        <color rgb="FF666666"/>
        <rFont val="Noto Sans CJK SC"/>
        <family val="2"/>
      </rPr>
      <t>금융비용으로 보고합니다</t>
    </r>
    <r>
      <rPr>
        <i/>
        <sz val="9"/>
        <color rgb="FF666666"/>
        <rFont val="Arial"/>
        <charset val="1"/>
      </rPr>
      <t xml:space="preserve">. </t>
    </r>
    <r>
      <rPr>
        <i/>
        <sz val="9"/>
        <color rgb="FF666666"/>
        <rFont val="Noto Sans CJK SC"/>
        <family val="2"/>
      </rPr>
      <t xml:space="preserve">정확한 가산액이 필요하면 </t>
    </r>
    <r>
      <rPr>
        <i/>
        <sz val="9"/>
        <color rgb="FF666666"/>
        <rFont val="Arial"/>
        <charset val="1"/>
      </rPr>
      <t xml:space="preserve">DART </t>
    </r>
    <r>
      <rPr>
        <i/>
        <sz val="9"/>
        <color rgb="FF666666"/>
        <rFont val="Noto Sans CJK SC"/>
        <family val="2"/>
      </rPr>
      <t>주석에서 확인해 입력하십시오</t>
    </r>
    <r>
      <rPr>
        <i/>
        <sz val="9"/>
        <color rgb="FF666666"/>
        <rFont val="Arial"/>
        <charset val="1"/>
      </rPr>
      <t>.</t>
    </r>
  </si>
  <si>
    <r>
      <rPr>
        <sz val="10"/>
        <rFont val="Noto Sans CJK SC"/>
        <family val="2"/>
      </rPr>
      <t xml:space="preserve">현금및현금성자산 </t>
    </r>
    <r>
      <rPr>
        <sz val="10"/>
        <rFont val="Arial"/>
        <charset val="1"/>
      </rPr>
      <t>(Cash &amp; cash equivalents)</t>
    </r>
  </si>
  <si>
    <t>최근 분기 실적</t>
  </si>
  <si>
    <r>
      <rPr>
        <i/>
        <sz val="9"/>
        <color rgb="FF666666"/>
        <rFont val="Noto Sans CJK SC"/>
        <family val="2"/>
      </rPr>
      <t>분기말 재무상태표가 공시된 경우에만 재무상태표 항목을 표시했습니다</t>
    </r>
    <r>
      <rPr>
        <i/>
        <sz val="9"/>
        <color rgb="FF666666"/>
        <rFont val="Arial"/>
        <charset val="1"/>
      </rPr>
      <t>.</t>
    </r>
  </si>
  <si>
    <r>
      <rPr>
        <b/>
        <sz val="11"/>
        <color rgb="FF1F4899"/>
        <rFont val="Arial"/>
        <charset val="1"/>
      </rPr>
      <t>NVIDIA (</t>
    </r>
    <r>
      <rPr>
        <b/>
        <sz val="11"/>
        <color rgb="FF1F4899"/>
        <rFont val="Noto Sans CJK SC"/>
        <family val="2"/>
      </rPr>
      <t>분기</t>
    </r>
    <r>
      <rPr>
        <b/>
        <sz val="11"/>
        <color rgb="FF1F4899"/>
        <rFont val="Arial"/>
        <charset val="1"/>
      </rPr>
      <t>)</t>
    </r>
  </si>
  <si>
    <r>
      <rPr>
        <i/>
        <sz val="9"/>
        <color rgb="FF666666"/>
        <rFont val="Noto Sans CJK SC"/>
        <family val="2"/>
      </rPr>
      <t>단위</t>
    </r>
    <r>
      <rPr>
        <i/>
        <sz val="9"/>
        <color rgb="FF666666"/>
        <rFont val="Arial"/>
        <charset val="1"/>
      </rPr>
      <t xml:space="preserve">: </t>
    </r>
    <r>
      <rPr>
        <i/>
        <sz val="9"/>
        <color rgb="FF666666"/>
        <rFont val="Noto Sans CJK SC"/>
        <family val="2"/>
      </rPr>
      <t>백만 달러</t>
    </r>
  </si>
  <si>
    <r>
      <rPr>
        <b/>
        <sz val="10"/>
        <color rgb="FFFFFFFF"/>
        <rFont val="Noto Sans CJK SC"/>
        <family val="2"/>
      </rPr>
      <t xml:space="preserve">분기 </t>
    </r>
    <r>
      <rPr>
        <b/>
        <sz val="10"/>
        <color rgb="FFFFFFFF"/>
        <rFont val="Arial"/>
        <charset val="1"/>
      </rPr>
      <t>(Quarter)</t>
    </r>
  </si>
  <si>
    <r>
      <rPr>
        <b/>
        <sz val="10"/>
        <color rgb="FFFFFFFF"/>
        <rFont val="Noto Sans CJK SC"/>
        <family val="2"/>
      </rPr>
      <t xml:space="preserve">매출액 </t>
    </r>
    <r>
      <rPr>
        <b/>
        <sz val="10"/>
        <color rgb="FFFFFFFF"/>
        <rFont val="Arial"/>
        <charset val="1"/>
      </rPr>
      <t>(Revenue)</t>
    </r>
  </si>
  <si>
    <r>
      <rPr>
        <b/>
        <sz val="10"/>
        <color rgb="FFFFFFFF"/>
        <rFont val="Noto Sans CJK SC"/>
        <family val="2"/>
      </rPr>
      <t xml:space="preserve">영업이익 </t>
    </r>
    <r>
      <rPr>
        <b/>
        <sz val="10"/>
        <color rgb="FFFFFFFF"/>
        <rFont val="Arial"/>
        <charset val="1"/>
      </rPr>
      <t>(Operating income)</t>
    </r>
  </si>
  <si>
    <r>
      <rPr>
        <b/>
        <sz val="10"/>
        <color rgb="FFFFFFFF"/>
        <rFont val="Noto Sans CJK SC"/>
        <family val="2"/>
      </rPr>
      <t xml:space="preserve">당기순이익 </t>
    </r>
    <r>
      <rPr>
        <b/>
        <sz val="10"/>
        <color rgb="FFFFFFFF"/>
        <rFont val="Arial"/>
        <charset val="1"/>
      </rPr>
      <t>(Net income)</t>
    </r>
  </si>
  <si>
    <r>
      <rPr>
        <b/>
        <sz val="10"/>
        <color rgb="FFFFFFFF"/>
        <rFont val="Noto Sans CJK SC"/>
        <family val="2"/>
      </rPr>
      <t xml:space="preserve">영업활동현금흐름 </t>
    </r>
    <r>
      <rPr>
        <b/>
        <sz val="10"/>
        <color rgb="FFFFFFFF"/>
        <rFont val="Arial"/>
        <charset val="1"/>
      </rPr>
      <t>(CFO)</t>
    </r>
  </si>
  <si>
    <r>
      <rPr>
        <b/>
        <sz val="10"/>
        <color rgb="FFFFFFFF"/>
        <rFont val="Noto Sans CJK SC"/>
        <family val="2"/>
      </rPr>
      <t xml:space="preserve">자본적지출 </t>
    </r>
    <r>
      <rPr>
        <b/>
        <sz val="10"/>
        <color rgb="FFFFFFFF"/>
        <rFont val="Arial"/>
        <charset val="1"/>
      </rPr>
      <t>(Capex)</t>
    </r>
  </si>
  <si>
    <r>
      <rPr>
        <b/>
        <sz val="10"/>
        <color rgb="FFFFFFFF"/>
        <rFont val="Noto Sans CJK SC"/>
        <family val="2"/>
      </rPr>
      <t xml:space="preserve">자산총계 </t>
    </r>
    <r>
      <rPr>
        <b/>
        <sz val="10"/>
        <color rgb="FFFFFFFF"/>
        <rFont val="Arial"/>
        <charset val="1"/>
      </rPr>
      <t>(Total assets)</t>
    </r>
  </si>
  <si>
    <r>
      <rPr>
        <b/>
        <sz val="10"/>
        <color rgb="FFFFFFFF"/>
        <rFont val="Noto Sans CJK SC"/>
        <family val="2"/>
      </rPr>
      <t xml:space="preserve">현금및유가증권 </t>
    </r>
    <r>
      <rPr>
        <b/>
        <sz val="10"/>
        <color rgb="FFFFFFFF"/>
        <rFont val="Arial"/>
        <charset val="1"/>
      </rPr>
      <t>(Cash &amp; securities)</t>
    </r>
  </si>
  <si>
    <r>
      <rPr>
        <b/>
        <sz val="10"/>
        <color rgb="FFFFFFFF"/>
        <rFont val="Noto Sans CJK SC"/>
        <family val="2"/>
      </rPr>
      <t xml:space="preserve">총차입금 </t>
    </r>
    <r>
      <rPr>
        <b/>
        <sz val="10"/>
        <color rgb="FFFFFFFF"/>
        <rFont val="Arial"/>
        <charset val="1"/>
      </rPr>
      <t>(Total debt)</t>
    </r>
  </si>
  <si>
    <r>
      <rPr>
        <b/>
        <sz val="10"/>
        <color rgb="FFFFFFFF"/>
        <rFont val="Noto Sans CJK SC"/>
        <family val="2"/>
      </rPr>
      <t xml:space="preserve">자본총계 </t>
    </r>
    <r>
      <rPr>
        <b/>
        <sz val="10"/>
        <color rgb="FFFFFFFF"/>
        <rFont val="Arial"/>
        <charset val="1"/>
      </rPr>
      <t>(Total equity)</t>
    </r>
  </si>
  <si>
    <t>Q1 FY26 (Apr-2025)</t>
  </si>
  <si>
    <t>Q2 FY26 (Jul-2025)</t>
  </si>
  <si>
    <t>Q3 FY26 (Oct-2025)</t>
  </si>
  <si>
    <t>Q4 FY26 (Jan-2026)</t>
  </si>
  <si>
    <t>Q1 FY27 (Apr-2026)</t>
  </si>
  <si>
    <r>
      <rPr>
        <b/>
        <sz val="10"/>
        <rFont val="Noto Sans CJK SC"/>
        <family val="2"/>
      </rPr>
      <t xml:space="preserve">분기별 영업이익률 </t>
    </r>
    <r>
      <rPr>
        <b/>
        <sz val="10"/>
        <rFont val="Arial"/>
        <charset val="1"/>
      </rPr>
      <t>(Operating margin by quarter)</t>
    </r>
  </si>
  <si>
    <r>
      <rPr>
        <b/>
        <sz val="11"/>
        <color rgb="FF1F4899"/>
        <rFont val="Arial"/>
        <charset val="1"/>
      </rPr>
      <t>SK hynix (</t>
    </r>
    <r>
      <rPr>
        <b/>
        <sz val="11"/>
        <color rgb="FF1F4899"/>
        <rFont val="Noto Sans CJK SC"/>
        <family val="2"/>
      </rPr>
      <t>분기</t>
    </r>
    <r>
      <rPr>
        <b/>
        <sz val="11"/>
        <color rgb="FF1F4899"/>
        <rFont val="Arial"/>
        <charset val="1"/>
      </rPr>
      <t>)</t>
    </r>
  </si>
  <si>
    <r>
      <rPr>
        <i/>
        <sz val="9"/>
        <color rgb="FF666666"/>
        <rFont val="Noto Sans CJK SC"/>
        <family val="2"/>
      </rPr>
      <t>단위</t>
    </r>
    <r>
      <rPr>
        <i/>
        <sz val="9"/>
        <color rgb="FF666666"/>
        <rFont val="Arial"/>
        <charset val="1"/>
      </rPr>
      <t xml:space="preserve">: </t>
    </r>
    <r>
      <rPr>
        <i/>
        <sz val="9"/>
        <color rgb="FF666666"/>
        <rFont val="Noto Sans CJK SC"/>
        <family val="2"/>
      </rPr>
      <t>십억 원</t>
    </r>
  </si>
  <si>
    <r>
      <rPr>
        <b/>
        <sz val="10"/>
        <color rgb="FFFFFFFF"/>
        <rFont val="Noto Sans CJK SC"/>
        <family val="2"/>
      </rPr>
      <t xml:space="preserve">현금및현금성자산 </t>
    </r>
    <r>
      <rPr>
        <b/>
        <sz val="10"/>
        <color rgb="FFFFFFFF"/>
        <rFont val="Arial"/>
        <charset val="1"/>
      </rPr>
      <t>(Cash &amp; equivalents)</t>
    </r>
  </si>
  <si>
    <r>
      <rPr>
        <b/>
        <sz val="10"/>
        <color rgb="FFFFFFFF"/>
        <rFont val="Noto Sans CJK SC"/>
        <family val="2"/>
      </rPr>
      <t xml:space="preserve">차입금 합계 </t>
    </r>
    <r>
      <rPr>
        <b/>
        <sz val="10"/>
        <color rgb="FFFFFFFF"/>
        <rFont val="Arial"/>
        <charset val="1"/>
      </rPr>
      <t>(Total borrowings)</t>
    </r>
  </si>
  <si>
    <t>Q1 2025 (Mar-2025)</t>
  </si>
  <si>
    <t>Q2 2025 (Jun-2025)</t>
  </si>
  <si>
    <t>B</t>
  </si>
  <si>
    <t>Q3 2025 (Sep-2025)</t>
  </si>
  <si>
    <t>Q4 2025 (Dec-2025)</t>
  </si>
  <si>
    <t>Q1 2026 (Mar-2026)</t>
  </si>
  <si>
    <t>Q2 2026 (Jun-2026)</t>
  </si>
  <si>
    <r>
      <rPr>
        <i/>
        <sz val="9"/>
        <color rgb="FF666666"/>
        <rFont val="Noto Sans CJK SC"/>
        <family val="2"/>
      </rPr>
      <t>참고</t>
    </r>
    <r>
      <rPr>
        <i/>
        <sz val="9"/>
        <color rgb="FF666666"/>
        <rFont val="Arial"/>
        <charset val="1"/>
      </rPr>
      <t>: SK hynix</t>
    </r>
    <r>
      <rPr>
        <i/>
        <sz val="9"/>
        <color rgb="FF666666"/>
        <rFont val="Noto Sans CJK SC"/>
        <family val="2"/>
      </rPr>
      <t xml:space="preserve">의 </t>
    </r>
    <r>
      <rPr>
        <i/>
        <sz val="9"/>
        <color rgb="FF666666"/>
        <rFont val="Arial"/>
        <charset val="1"/>
      </rPr>
      <t>2026</t>
    </r>
    <r>
      <rPr>
        <i/>
        <sz val="9"/>
        <color rgb="FF666666"/>
        <rFont val="Noto Sans CJK SC"/>
        <family val="2"/>
      </rPr>
      <t xml:space="preserve">년 </t>
    </r>
    <r>
      <rPr>
        <i/>
        <sz val="9"/>
        <color rgb="FF666666"/>
        <rFont val="Arial"/>
        <charset val="1"/>
      </rPr>
      <t>2</t>
    </r>
    <r>
      <rPr>
        <i/>
        <sz val="9"/>
        <color rgb="FF666666"/>
        <rFont val="Noto Sans CJK SC"/>
        <family val="2"/>
      </rPr>
      <t xml:space="preserve">분기 당기순이익 </t>
    </r>
    <r>
      <rPr>
        <i/>
        <sz val="9"/>
        <color rgb="FF666666"/>
        <rFont val="Arial"/>
        <charset val="1"/>
      </rPr>
      <t>93,923</t>
    </r>
    <r>
      <rPr>
        <i/>
        <sz val="9"/>
        <color rgb="FF666666"/>
        <rFont val="Noto Sans CJK SC"/>
        <family val="2"/>
      </rPr>
      <t xml:space="preserve">십억 원이 매출액 </t>
    </r>
    <r>
      <rPr>
        <i/>
        <sz val="9"/>
        <color rgb="FF666666"/>
        <rFont val="Arial"/>
        <charset val="1"/>
      </rPr>
      <t>79,319</t>
    </r>
    <r>
      <rPr>
        <i/>
        <sz val="9"/>
        <color rgb="FF666666"/>
        <rFont val="Noto Sans CJK SC"/>
        <family val="2"/>
      </rPr>
      <t xml:space="preserve">십억 원을 초과하는 것은 </t>
    </r>
    <r>
      <rPr>
        <i/>
        <sz val="9"/>
        <color rgb="FF666666"/>
        <rFont val="Arial"/>
        <charset val="1"/>
      </rPr>
      <t xml:space="preserve">Kioxia </t>
    </r>
    <r>
      <rPr>
        <i/>
        <sz val="9"/>
        <color rgb="FF666666"/>
        <rFont val="Noto Sans CJK SC"/>
        <family val="2"/>
      </rPr>
      <t xml:space="preserve">지분 매각에 따른 투자자산 처분이익 약 </t>
    </r>
    <r>
      <rPr>
        <i/>
        <sz val="9"/>
        <color rgb="FF666666"/>
        <rFont val="Arial"/>
        <charset val="1"/>
      </rPr>
      <t>63</t>
    </r>
    <r>
      <rPr>
        <i/>
        <sz val="9"/>
        <color rgb="FF666666"/>
        <rFont val="Noto Sans CJK SC"/>
        <family val="2"/>
      </rPr>
      <t>조 원이 포함되었기 때문입니다</t>
    </r>
    <r>
      <rPr>
        <i/>
        <sz val="9"/>
        <color rgb="FF666666"/>
        <rFont val="Arial"/>
        <charset val="1"/>
      </rPr>
      <t>. FCFF</t>
    </r>
    <r>
      <rPr>
        <i/>
        <sz val="9"/>
        <color rgb="FF666666"/>
        <rFont val="Noto Sans CJK SC"/>
        <family val="2"/>
      </rPr>
      <t>는 당기순이익이 아니라 영업이익에서 출발해야 합니다</t>
    </r>
    <r>
      <rPr>
        <i/>
        <sz val="9"/>
        <color rgb="FF666666"/>
        <rFont val="Arial"/>
        <charset val="1"/>
      </rPr>
      <t>.</t>
    </r>
  </si>
  <si>
    <t>증권사 컨센서스 — 기업 단위</t>
  </si>
  <si>
    <r>
      <rPr>
        <b/>
        <sz val="10"/>
        <color rgb="FFFFFFFF"/>
        <rFont val="Noto Sans CJK SC"/>
        <family val="2"/>
      </rPr>
      <t xml:space="preserve">항목 </t>
    </r>
    <r>
      <rPr>
        <b/>
        <sz val="10"/>
        <color rgb="FFFFFFFF"/>
        <rFont val="Arial"/>
        <charset val="1"/>
      </rPr>
      <t>(Metric)</t>
    </r>
  </si>
  <si>
    <r>
      <rPr>
        <b/>
        <sz val="10"/>
        <color rgb="FFFFFFFF"/>
        <rFont val="Noto Sans CJK SC"/>
        <family val="2"/>
      </rPr>
      <t xml:space="preserve">단위 </t>
    </r>
    <r>
      <rPr>
        <b/>
        <sz val="10"/>
        <color rgb="FFFFFFFF"/>
        <rFont val="Arial"/>
        <charset val="1"/>
      </rPr>
      <t>(Unit)</t>
    </r>
  </si>
  <si>
    <r>
      <rPr>
        <b/>
        <sz val="10"/>
        <color rgb="FFFFFFFF"/>
        <rFont val="Noto Sans CJK SC"/>
        <family val="2"/>
      </rPr>
      <t xml:space="preserve">값 </t>
    </r>
    <r>
      <rPr>
        <b/>
        <sz val="10"/>
        <color rgb="FFFFFFFF"/>
        <rFont val="Arial"/>
        <charset val="1"/>
      </rPr>
      <t>(Value)</t>
    </r>
  </si>
  <si>
    <r>
      <rPr>
        <b/>
        <sz val="10"/>
        <color rgb="FFFFFFFF"/>
        <rFont val="Noto Sans CJK SC"/>
        <family val="2"/>
      </rPr>
      <t xml:space="preserve">출처 </t>
    </r>
    <r>
      <rPr>
        <b/>
        <sz val="10"/>
        <color rgb="FFFFFFFF"/>
        <rFont val="Arial"/>
        <charset val="1"/>
      </rPr>
      <t xml:space="preserve">/ </t>
    </r>
    <r>
      <rPr>
        <b/>
        <sz val="10"/>
        <color rgb="FFFFFFFF"/>
        <rFont val="Noto Sans CJK SC"/>
        <family val="2"/>
      </rPr>
      <t xml:space="preserve">유의사항 </t>
    </r>
    <r>
      <rPr>
        <b/>
        <sz val="10"/>
        <color rgb="FFFFFFFF"/>
        <rFont val="Arial"/>
        <charset val="1"/>
      </rPr>
      <t>(Source / caveat)</t>
    </r>
  </si>
  <si>
    <r>
      <rPr>
        <sz val="10"/>
        <rFont val="Arial"/>
        <charset val="1"/>
      </rPr>
      <t>12</t>
    </r>
    <r>
      <rPr>
        <sz val="10"/>
        <rFont val="Noto Sans CJK SC"/>
        <family val="2"/>
      </rPr>
      <t xml:space="preserve">개월 목표주가 </t>
    </r>
    <r>
      <rPr>
        <sz val="10"/>
        <rFont val="Arial"/>
        <charset val="1"/>
      </rPr>
      <t>(12-mo price target)</t>
    </r>
  </si>
  <si>
    <t>SK hynix</t>
  </si>
  <si>
    <r>
      <rPr>
        <sz val="10"/>
        <rFont val="Arial"/>
        <charset val="1"/>
      </rPr>
      <t>2026</t>
    </r>
    <r>
      <rPr>
        <sz val="10"/>
        <rFont val="Noto Sans CJK SC"/>
        <family val="2"/>
      </rPr>
      <t xml:space="preserve">년 </t>
    </r>
    <r>
      <rPr>
        <sz val="10"/>
        <rFont val="Arial"/>
        <charset val="1"/>
      </rPr>
      <t>2</t>
    </r>
    <r>
      <rPr>
        <sz val="10"/>
        <rFont val="Noto Sans CJK SC"/>
        <family val="2"/>
      </rPr>
      <t>분기 매출액</t>
    </r>
    <r>
      <rPr>
        <sz val="10"/>
        <rFont val="Arial"/>
        <charset val="1"/>
      </rPr>
      <t>(</t>
    </r>
    <r>
      <rPr>
        <sz val="10"/>
        <rFont val="Noto Sans CJK SC"/>
        <family val="2"/>
      </rPr>
      <t>추정</t>
    </r>
    <r>
      <rPr>
        <sz val="10"/>
        <rFont val="Arial"/>
        <charset val="1"/>
      </rPr>
      <t>) (Q2 2026 revenue (est.))</t>
    </r>
  </si>
  <si>
    <r>
      <rPr>
        <sz val="10"/>
        <rFont val="Noto Sans CJK SC"/>
        <family val="2"/>
      </rPr>
      <t xml:space="preserve">조 원 </t>
    </r>
    <r>
      <rPr>
        <sz val="10"/>
        <rFont val="Arial"/>
        <charset val="1"/>
      </rPr>
      <t>(KRW tn)</t>
    </r>
  </si>
  <si>
    <r>
      <rPr>
        <i/>
        <sz val="9"/>
        <color rgb="FF666666"/>
        <rFont val="Noto Sans CJK SC"/>
        <family val="2"/>
      </rPr>
      <t xml:space="preserve">실적 발표 전 </t>
    </r>
    <r>
      <rPr>
        <i/>
        <sz val="9"/>
        <color rgb="FF666666"/>
        <rFont val="Arial"/>
        <charset val="1"/>
      </rPr>
      <t xml:space="preserve">LSEG SmartEstimates </t>
    </r>
    <r>
      <rPr>
        <i/>
        <sz val="9"/>
        <color rgb="FF666666"/>
        <rFont val="Noto Sans CJK SC"/>
        <family val="2"/>
      </rPr>
      <t>기준</t>
    </r>
    <r>
      <rPr>
        <i/>
        <sz val="9"/>
        <color rgb="FF666666"/>
        <rFont val="Arial"/>
        <charset val="1"/>
      </rPr>
      <t xml:space="preserve">, </t>
    </r>
    <r>
      <rPr>
        <i/>
        <sz val="9"/>
        <color rgb="FF666666"/>
        <rFont val="Noto Sans CJK SC"/>
        <family val="2"/>
      </rPr>
      <t xml:space="preserve">실제치는 </t>
    </r>
    <r>
      <rPr>
        <i/>
        <sz val="9"/>
        <color rgb="FF666666"/>
        <rFont val="Arial"/>
        <charset val="1"/>
      </rPr>
      <t>79.3</t>
    </r>
    <r>
      <rPr>
        <i/>
        <sz val="9"/>
        <color rgb="FF666666"/>
        <rFont val="Noto Sans CJK SC"/>
        <family val="2"/>
      </rPr>
      <t>조 원</t>
    </r>
  </si>
  <si>
    <r>
      <rPr>
        <sz val="10"/>
        <rFont val="Arial"/>
        <charset val="1"/>
      </rPr>
      <t>2026</t>
    </r>
    <r>
      <rPr>
        <sz val="10"/>
        <rFont val="Noto Sans CJK SC"/>
        <family val="2"/>
      </rPr>
      <t xml:space="preserve">년 </t>
    </r>
    <r>
      <rPr>
        <sz val="10"/>
        <rFont val="Arial"/>
        <charset val="1"/>
      </rPr>
      <t>2</t>
    </r>
    <r>
      <rPr>
        <sz val="10"/>
        <rFont val="Noto Sans CJK SC"/>
        <family val="2"/>
      </rPr>
      <t>분기 영업이익</t>
    </r>
    <r>
      <rPr>
        <sz val="10"/>
        <rFont val="Arial"/>
        <charset val="1"/>
      </rPr>
      <t>(</t>
    </r>
    <r>
      <rPr>
        <sz val="10"/>
        <rFont val="Noto Sans CJK SC"/>
        <family val="2"/>
      </rPr>
      <t>추정</t>
    </r>
    <r>
      <rPr>
        <sz val="10"/>
        <rFont val="Arial"/>
        <charset val="1"/>
      </rPr>
      <t>) (Q2 2026 op. profit (est.))</t>
    </r>
  </si>
  <si>
    <r>
      <rPr>
        <i/>
        <sz val="9"/>
        <color rgb="FF666666"/>
        <rFont val="Noto Sans CJK SC"/>
        <family val="2"/>
      </rPr>
      <t>연합인포맥스</t>
    </r>
    <r>
      <rPr>
        <i/>
        <sz val="9"/>
        <color rgb="FF666666"/>
        <rFont val="Arial"/>
        <charset val="1"/>
      </rPr>
      <t xml:space="preserve">, </t>
    </r>
    <r>
      <rPr>
        <i/>
        <sz val="9"/>
        <color rgb="FF666666"/>
        <rFont val="Noto Sans CJK SC"/>
        <family val="2"/>
      </rPr>
      <t xml:space="preserve">증권사 </t>
    </r>
    <r>
      <rPr>
        <i/>
        <sz val="9"/>
        <color rgb="FF666666"/>
        <rFont val="Arial"/>
        <charset val="1"/>
      </rPr>
      <t>14</t>
    </r>
    <r>
      <rPr>
        <i/>
        <sz val="9"/>
        <color rgb="FF666666"/>
        <rFont val="Noto Sans CJK SC"/>
        <family val="2"/>
      </rPr>
      <t>곳 기준</t>
    </r>
    <r>
      <rPr>
        <i/>
        <sz val="9"/>
        <color rgb="FF666666"/>
        <rFont val="Arial"/>
        <charset val="1"/>
      </rPr>
      <t xml:space="preserve">, </t>
    </r>
    <r>
      <rPr>
        <i/>
        <sz val="9"/>
        <color rgb="FF666666"/>
        <rFont val="Noto Sans CJK SC"/>
        <family val="2"/>
      </rPr>
      <t xml:space="preserve">실제치는 </t>
    </r>
    <r>
      <rPr>
        <i/>
        <sz val="9"/>
        <color rgb="FF666666"/>
        <rFont val="Arial"/>
        <charset val="1"/>
      </rPr>
      <t>60.5</t>
    </r>
    <r>
      <rPr>
        <i/>
        <sz val="9"/>
        <color rgb="FF666666"/>
        <rFont val="Noto Sans CJK SC"/>
        <family val="2"/>
      </rPr>
      <t>조 원</t>
    </r>
  </si>
  <si>
    <r>
      <rPr>
        <sz val="10"/>
        <rFont val="Arial"/>
        <charset val="1"/>
      </rPr>
      <t>2026</t>
    </r>
    <r>
      <rPr>
        <sz val="10"/>
        <rFont val="Noto Sans CJK SC"/>
        <family val="2"/>
      </rPr>
      <t xml:space="preserve">년 영업이익 </t>
    </r>
    <r>
      <rPr>
        <sz val="10"/>
        <rFont val="Arial"/>
        <charset val="1"/>
      </rPr>
      <t>(FY2026 operating profit)</t>
    </r>
  </si>
  <si>
    <r>
      <rPr>
        <i/>
        <sz val="9"/>
        <color rgb="FF666666"/>
        <rFont val="Arial"/>
        <charset val="1"/>
      </rPr>
      <t xml:space="preserve">Nomura </t>
    </r>
    <r>
      <rPr>
        <i/>
        <sz val="9"/>
        <color rgb="FF666666"/>
        <rFont val="Noto Sans CJK SC"/>
        <family val="2"/>
      </rPr>
      <t xml:space="preserve">추정치 </t>
    </r>
    <r>
      <rPr>
        <i/>
        <sz val="9"/>
        <color rgb="FF666666"/>
        <rFont val="Arial"/>
        <charset val="1"/>
      </rPr>
      <t>(</t>
    </r>
    <r>
      <rPr>
        <i/>
        <sz val="9"/>
        <color rgb="FF666666"/>
        <rFont val="Noto Sans CJK SC"/>
        <family val="2"/>
      </rPr>
      <t>단일 증권사</t>
    </r>
    <r>
      <rPr>
        <i/>
        <sz val="9"/>
        <color rgb="FF666666"/>
        <rFont val="Arial"/>
        <charset val="1"/>
      </rPr>
      <t xml:space="preserve">, </t>
    </r>
    <r>
      <rPr>
        <i/>
        <sz val="9"/>
        <color rgb="FF666666"/>
        <rFont val="Noto Sans CJK SC"/>
        <family val="2"/>
      </rPr>
      <t>컨센서스 아님</t>
    </r>
    <r>
      <rPr>
        <i/>
        <sz val="9"/>
        <color rgb="FF666666"/>
        <rFont val="Arial"/>
        <charset val="1"/>
      </rPr>
      <t>)</t>
    </r>
  </si>
  <si>
    <r>
      <rPr>
        <sz val="10"/>
        <rFont val="Arial"/>
        <charset val="1"/>
      </rPr>
      <t>2027</t>
    </r>
    <r>
      <rPr>
        <sz val="10"/>
        <rFont val="Noto Sans CJK SC"/>
        <family val="2"/>
      </rPr>
      <t xml:space="preserve">년 영업이익 </t>
    </r>
    <r>
      <rPr>
        <sz val="10"/>
        <rFont val="Arial"/>
        <charset val="1"/>
      </rPr>
      <t>(FY2027 operating profit)</t>
    </r>
  </si>
  <si>
    <r>
      <rPr>
        <sz val="10"/>
        <rFont val="Arial"/>
        <charset val="1"/>
      </rPr>
      <t>2026</t>
    </r>
    <r>
      <rPr>
        <sz val="10"/>
        <rFont val="Noto Sans CJK SC"/>
        <family val="2"/>
      </rPr>
      <t xml:space="preserve">년 자본적지출 </t>
    </r>
    <r>
      <rPr>
        <sz val="10"/>
        <rFont val="Arial"/>
        <charset val="1"/>
      </rPr>
      <t>(FY2026 capex)</t>
    </r>
  </si>
  <si>
    <r>
      <rPr>
        <i/>
        <sz val="9"/>
        <color rgb="FF666666"/>
        <rFont val="Noto Sans CJK SC"/>
        <family val="2"/>
      </rPr>
      <t>회사 가이던스</t>
    </r>
    <r>
      <rPr>
        <i/>
        <sz val="9"/>
        <color rgb="FF666666"/>
        <rFont val="Arial"/>
        <charset val="1"/>
      </rPr>
      <t>: 40</t>
    </r>
    <r>
      <rPr>
        <i/>
        <sz val="9"/>
        <color rgb="FF666666"/>
        <rFont val="Noto Sans CJK SC"/>
        <family val="2"/>
      </rPr>
      <t>조 원대 후반</t>
    </r>
  </si>
  <si>
    <r>
      <rPr>
        <sz val="10"/>
        <rFont val="Noto Sans CJK SC"/>
        <family val="2"/>
      </rPr>
      <t xml:space="preserve">원 </t>
    </r>
    <r>
      <rPr>
        <sz val="10"/>
        <rFont val="Arial"/>
        <charset val="1"/>
      </rPr>
      <t>(KRW)</t>
    </r>
  </si>
  <si>
    <r>
      <rPr>
        <i/>
        <sz val="9"/>
        <color rgb="FF666666"/>
        <rFont val="Noto Sans CJK SC"/>
        <family val="2"/>
      </rPr>
      <t xml:space="preserve">애널리스트 </t>
    </r>
    <r>
      <rPr>
        <i/>
        <sz val="9"/>
        <color rgb="FF666666"/>
        <rFont val="Arial"/>
        <charset val="1"/>
      </rPr>
      <t>37</t>
    </r>
    <r>
      <rPr>
        <i/>
        <sz val="9"/>
        <color rgb="FF666666"/>
        <rFont val="Noto Sans CJK SC"/>
        <family val="2"/>
      </rPr>
      <t>명 평균</t>
    </r>
    <r>
      <rPr>
        <i/>
        <sz val="9"/>
        <color rgb="FF666666"/>
        <rFont val="Arial"/>
        <charset val="1"/>
      </rPr>
      <t>(Investing.com)</t>
    </r>
  </si>
  <si>
    <r>
      <rPr>
        <b/>
        <sz val="11"/>
        <color rgb="FF1F4899"/>
        <rFont val="Arial"/>
        <charset val="1"/>
      </rPr>
      <t xml:space="preserve">FCFF </t>
    </r>
    <r>
      <rPr>
        <b/>
        <sz val="11"/>
        <color rgb="FF1F4899"/>
        <rFont val="Noto Sans CJK SC"/>
        <family val="2"/>
      </rPr>
      <t>추정치에 관하여</t>
    </r>
  </si>
  <si>
    <r>
      <rPr>
        <sz val="10"/>
        <rFont val="Noto Sans CJK SC"/>
        <family val="2"/>
      </rPr>
      <t>강의 목적으로는 컨센서스 매출액과 영업이익률 경로를 출발점으로 삼고</t>
    </r>
    <r>
      <rPr>
        <sz val="10"/>
        <rFont val="Arial"/>
        <charset val="1"/>
      </rPr>
      <t xml:space="preserve">, </t>
    </r>
    <r>
      <rPr>
        <sz val="10"/>
        <rFont val="Noto Sans CJK SC"/>
        <family val="2"/>
      </rPr>
      <t xml:space="preserve">학생들이 여기에 자본적지출과 운전자본을 더해 </t>
    </r>
    <r>
      <rPr>
        <sz val="10"/>
        <rFont val="Arial"/>
        <charset val="1"/>
      </rPr>
      <t>FCFF</t>
    </r>
    <r>
      <rPr>
        <sz val="10"/>
        <rFont val="Noto Sans CJK SC"/>
        <family val="2"/>
      </rPr>
      <t>를 직접 구성하도록 하는 편이 낫습니다</t>
    </r>
    <r>
      <rPr>
        <sz val="10"/>
        <rFont val="Arial"/>
        <charset val="1"/>
      </rPr>
      <t xml:space="preserve">. </t>
    </r>
    <r>
      <rPr>
        <sz val="10"/>
        <rFont val="Noto Sans CJK SC"/>
        <family val="2"/>
      </rPr>
      <t>추정은 증권사가 아니라 학생 자신의 것이어야 한다는 점이 이 실습의 핵심입니다</t>
    </r>
    <r>
      <rPr>
        <sz val="10"/>
        <rFont val="Arial"/>
        <charset val="1"/>
      </rPr>
      <t>.</t>
    </r>
  </si>
  <si>
    <r>
      <rPr>
        <sz val="10"/>
        <rFont val="Noto Sans CJK SC"/>
        <family val="2"/>
      </rPr>
      <t xml:space="preserve">확인한 공개 자료에는 </t>
    </r>
    <r>
      <rPr>
        <sz val="10"/>
        <rFont val="Arial"/>
        <charset val="1"/>
      </rPr>
      <t>SK hynix</t>
    </r>
    <r>
      <rPr>
        <sz val="10"/>
        <rFont val="Noto Sans CJK SC"/>
        <family val="2"/>
      </rPr>
      <t xml:space="preserve">의 </t>
    </r>
    <r>
      <rPr>
        <sz val="10"/>
        <rFont val="Arial"/>
        <charset val="1"/>
      </rPr>
      <t>2026</t>
    </r>
    <r>
      <rPr>
        <sz val="10"/>
        <rFont val="Noto Sans CJK SC"/>
        <family val="2"/>
      </rPr>
      <t>년</t>
    </r>
    <r>
      <rPr>
        <sz val="10"/>
        <rFont val="Arial"/>
        <charset val="1"/>
      </rPr>
      <t>·2027</t>
    </r>
    <r>
      <rPr>
        <sz val="10"/>
        <rFont val="Noto Sans CJK SC"/>
        <family val="2"/>
      </rPr>
      <t>년 영업이익 컨센서스가 존재하지 않습니다</t>
    </r>
    <r>
      <rPr>
        <sz val="10"/>
        <rFont val="Arial"/>
        <charset val="1"/>
      </rPr>
      <t xml:space="preserve">. </t>
    </r>
    <r>
      <rPr>
        <sz val="10"/>
        <rFont val="Noto Sans CJK SC"/>
        <family val="2"/>
      </rPr>
      <t xml:space="preserve">위의 </t>
    </r>
    <r>
      <rPr>
        <sz val="10"/>
        <rFont val="Arial"/>
        <charset val="1"/>
      </rPr>
      <t xml:space="preserve">Nomura </t>
    </r>
    <r>
      <rPr>
        <sz val="10"/>
        <rFont val="Noto Sans CJK SC"/>
        <family val="2"/>
      </rPr>
      <t>수치는 단일 증권사 추정치이며 그렇게 표기했습니다</t>
    </r>
    <r>
      <rPr>
        <sz val="10"/>
        <rFont val="Arial"/>
        <charset val="1"/>
      </rPr>
      <t>.</t>
    </r>
  </si>
  <si>
    <r>
      <rPr>
        <b/>
        <sz val="11"/>
        <color rgb="FF1F4899"/>
        <rFont val="Arial"/>
        <charset val="1"/>
      </rPr>
      <t xml:space="preserve">1. </t>
    </r>
    <r>
      <rPr>
        <b/>
        <sz val="11"/>
        <color rgb="FF1F4899"/>
        <rFont val="Noto Sans CJK SC"/>
        <family val="2"/>
      </rPr>
      <t xml:space="preserve">시장 데이터 </t>
    </r>
    <r>
      <rPr>
        <b/>
        <sz val="11"/>
        <color rgb="FF1F4899"/>
        <rFont val="Arial"/>
        <charset val="1"/>
      </rPr>
      <t>(</t>
    </r>
    <r>
      <rPr>
        <b/>
        <sz val="11"/>
        <color rgb="FF1F4899"/>
        <rFont val="Noto Sans CJK SC"/>
        <family val="2"/>
      </rPr>
      <t xml:space="preserve">파란색 </t>
    </r>
    <r>
      <rPr>
        <b/>
        <sz val="11"/>
        <color rgb="FF1F4899"/>
        <rFont val="Arial"/>
        <charset val="1"/>
      </rPr>
      <t xml:space="preserve">= </t>
    </r>
    <r>
      <rPr>
        <b/>
        <sz val="11"/>
        <color rgb="FF1F4899"/>
        <rFont val="Noto Sans CJK SC"/>
        <family val="2"/>
      </rPr>
      <t>수업 전 업데이트</t>
    </r>
    <r>
      <rPr>
        <b/>
        <sz val="11"/>
        <color rgb="FF1F4899"/>
        <rFont val="Arial"/>
        <charset val="1"/>
      </rPr>
      <t>)</t>
    </r>
  </si>
  <si>
    <r>
      <rPr>
        <sz val="10"/>
        <rFont val="Noto Sans CJK SC"/>
        <family val="2"/>
      </rPr>
      <t xml:space="preserve">주가 </t>
    </r>
    <r>
      <rPr>
        <sz val="10"/>
        <rFont val="Arial"/>
        <charset val="1"/>
      </rPr>
      <t>(Share price)</t>
    </r>
  </si>
  <si>
    <r>
      <rPr>
        <sz val="10"/>
        <rFont val="Noto Sans CJK SC"/>
        <family val="2"/>
      </rPr>
      <t xml:space="preserve">희석 발행주식수 </t>
    </r>
    <r>
      <rPr>
        <sz val="10"/>
        <rFont val="Arial"/>
        <charset val="1"/>
      </rPr>
      <t>(Diluted shares outstanding (m))</t>
    </r>
  </si>
  <si>
    <r>
      <rPr>
        <sz val="10"/>
        <rFont val="Noto Sans CJK SC"/>
        <family val="2"/>
      </rPr>
      <t xml:space="preserve">단위 환산계수 </t>
    </r>
    <r>
      <rPr>
        <sz val="10"/>
        <rFont val="Arial"/>
        <charset val="1"/>
      </rPr>
      <t>(Units scalar (statement unit per share unit))</t>
    </r>
  </si>
  <si>
    <r>
      <rPr>
        <b/>
        <sz val="10"/>
        <rFont val="Noto Sans CJK SC"/>
        <family val="2"/>
      </rPr>
      <t xml:space="preserve">시가총액 </t>
    </r>
    <r>
      <rPr>
        <b/>
        <sz val="10"/>
        <rFont val="Arial"/>
        <charset val="1"/>
      </rPr>
      <t>(Market capitalisation)</t>
    </r>
  </si>
  <si>
    <r>
      <rPr>
        <i/>
        <sz val="9"/>
        <color rgb="FF666666"/>
        <rFont val="Noto Sans CJK SC"/>
        <family val="2"/>
      </rPr>
      <t>위 재무제표와 동일한 단위로 표시했습니다</t>
    </r>
    <r>
      <rPr>
        <i/>
        <sz val="9"/>
        <color rgb="FF666666"/>
        <rFont val="Arial"/>
        <charset val="1"/>
      </rPr>
      <t>.</t>
    </r>
  </si>
  <si>
    <r>
      <rPr>
        <sz val="10"/>
        <rFont val="Noto Sans CJK SC"/>
        <family val="2"/>
      </rPr>
      <t>총차입금</t>
    </r>
    <r>
      <rPr>
        <sz val="10"/>
        <rFont val="Arial"/>
        <charset val="1"/>
      </rPr>
      <t>(</t>
    </r>
    <r>
      <rPr>
        <sz val="10"/>
        <rFont val="Noto Sans CJK SC"/>
        <family val="2"/>
      </rPr>
      <t>최근 재무상태표</t>
    </r>
    <r>
      <rPr>
        <sz val="10"/>
        <rFont val="Arial"/>
        <charset val="1"/>
      </rPr>
      <t>) (Total debt (latest balance sheet))</t>
    </r>
  </si>
  <si>
    <r>
      <rPr>
        <sz val="10"/>
        <rFont val="Noto Sans CJK SC"/>
        <family val="2"/>
      </rPr>
      <t xml:space="preserve">기타 비영업투자자산 </t>
    </r>
    <r>
      <rPr>
        <sz val="10"/>
        <rFont val="Arial"/>
        <charset val="1"/>
      </rPr>
      <t>(Other non-operating investments)</t>
    </r>
  </si>
  <si>
    <r>
      <rPr>
        <i/>
        <sz val="9"/>
        <color rgb="FF666666"/>
        <rFont val="Noto Sans CJK SC"/>
        <family val="2"/>
      </rPr>
      <t>비시장성 유가증권 및 장기투자자산</t>
    </r>
    <r>
      <rPr>
        <i/>
        <sz val="9"/>
        <color rgb="FF666666"/>
        <rFont val="Arial"/>
        <charset val="1"/>
      </rPr>
      <t xml:space="preserve">. </t>
    </r>
    <r>
      <rPr>
        <i/>
        <sz val="9"/>
        <color rgb="FF666666"/>
        <rFont val="Noto Sans CJK SC"/>
        <family val="2"/>
      </rPr>
      <t>자기자본가치 조정 단계에서 가산합니다</t>
    </r>
    <r>
      <rPr>
        <i/>
        <sz val="9"/>
        <color rgb="FF666666"/>
        <rFont val="Arial"/>
        <charset val="1"/>
      </rPr>
      <t>.</t>
    </r>
  </si>
  <si>
    <r>
      <rPr>
        <sz val="10"/>
        <rFont val="Noto Sans CJK SC"/>
        <family val="2"/>
      </rPr>
      <t xml:space="preserve">비유동리스부채 </t>
    </r>
    <r>
      <rPr>
        <sz val="10"/>
        <rFont val="Arial"/>
        <charset val="1"/>
      </rPr>
      <t>(Non-current lease liabilities)</t>
    </r>
  </si>
  <si>
    <r>
      <rPr>
        <i/>
        <sz val="9"/>
        <color rgb="FF666666"/>
        <rFont val="Noto Sans CJK SC"/>
        <family val="2"/>
      </rPr>
      <t>차입금 성격의 부채</t>
    </r>
    <r>
      <rPr>
        <i/>
        <sz val="9"/>
        <color rgb="FF666666"/>
        <rFont val="Arial"/>
        <charset val="1"/>
      </rPr>
      <t xml:space="preserve">. </t>
    </r>
    <r>
      <rPr>
        <i/>
        <sz val="9"/>
        <color rgb="FF666666"/>
        <rFont val="Noto Sans CJK SC"/>
        <family val="2"/>
      </rPr>
      <t>자기자본가치 조정 단계에서 차감합니다</t>
    </r>
    <r>
      <rPr>
        <i/>
        <sz val="9"/>
        <color rgb="FF666666"/>
        <rFont val="Arial"/>
        <charset val="1"/>
      </rPr>
      <t>.</t>
    </r>
  </si>
  <si>
    <r>
      <rPr>
        <b/>
        <sz val="11"/>
        <color rgb="FF1F4899"/>
        <rFont val="Arial"/>
        <charset val="1"/>
      </rPr>
      <t xml:space="preserve">2. </t>
    </r>
    <r>
      <rPr>
        <b/>
        <sz val="11"/>
        <color rgb="FF1F4899"/>
        <rFont val="Noto Sans CJK SC"/>
        <family val="2"/>
      </rPr>
      <t>자본비용</t>
    </r>
  </si>
  <si>
    <r>
      <rPr>
        <b/>
        <sz val="10"/>
        <rFont val="Noto Sans CJK SC"/>
        <family val="2"/>
      </rPr>
      <t xml:space="preserve">무위험이자율 </t>
    </r>
    <r>
      <rPr>
        <b/>
        <sz val="10"/>
        <rFont val="Arial"/>
        <charset val="1"/>
      </rPr>
      <t>(Risk-free rate)</t>
    </r>
  </si>
  <si>
    <r>
      <rPr>
        <b/>
        <sz val="10"/>
        <rFont val="Noto Sans CJK SC"/>
        <family val="2"/>
      </rPr>
      <t xml:space="preserve">시장위험프리미엄 </t>
    </r>
    <r>
      <rPr>
        <b/>
        <sz val="10"/>
        <rFont val="Arial"/>
        <charset val="1"/>
      </rPr>
      <t>(Equity risk premium)</t>
    </r>
  </si>
  <si>
    <r>
      <rPr>
        <b/>
        <sz val="10"/>
        <rFont val="Noto Sans CJK SC"/>
        <family val="2"/>
      </rPr>
      <t xml:space="preserve">레버드 베타 </t>
    </r>
    <r>
      <rPr>
        <b/>
        <sz val="10"/>
        <rFont val="Arial"/>
        <charset val="1"/>
      </rPr>
      <t>(Levered equity beta)</t>
    </r>
  </si>
  <si>
    <r>
      <rPr>
        <b/>
        <sz val="10"/>
        <rFont val="Noto Sans CJK SC"/>
        <family val="2"/>
      </rPr>
      <t xml:space="preserve">자기자본비용 </t>
    </r>
    <r>
      <rPr>
        <b/>
        <sz val="10"/>
        <rFont val="Arial"/>
        <charset val="1"/>
      </rPr>
      <t>(Cost of equity  (CAPM))</t>
    </r>
  </si>
  <si>
    <r>
      <rPr>
        <i/>
        <sz val="9"/>
        <color rgb="FF666666"/>
        <rFont val="Arial"/>
        <charset val="1"/>
      </rPr>
      <t xml:space="preserve">ke = </t>
    </r>
    <r>
      <rPr>
        <i/>
        <sz val="9"/>
        <color rgb="FF666666"/>
        <rFont val="Noto Sans CJK SC"/>
        <family val="2"/>
      </rPr>
      <t xml:space="preserve">무위험이자율 </t>
    </r>
    <r>
      <rPr>
        <i/>
        <sz val="9"/>
        <color rgb="FF666666"/>
        <rFont val="Arial"/>
        <charset val="1"/>
      </rPr>
      <t xml:space="preserve">+ </t>
    </r>
    <r>
      <rPr>
        <i/>
        <sz val="9"/>
        <color rgb="FF666666"/>
        <rFont val="Noto Sans CJK SC"/>
        <family val="2"/>
      </rPr>
      <t xml:space="preserve">베타 </t>
    </r>
    <r>
      <rPr>
        <i/>
        <sz val="9"/>
        <color rgb="FF666666"/>
        <rFont val="Arial"/>
        <charset val="1"/>
      </rPr>
      <t xml:space="preserve">x </t>
    </r>
    <r>
      <rPr>
        <i/>
        <sz val="9"/>
        <color rgb="FF666666"/>
        <rFont val="Noto Sans CJK SC"/>
        <family val="2"/>
      </rPr>
      <t>시장위험프리미엄</t>
    </r>
  </si>
  <si>
    <r>
      <rPr>
        <sz val="10"/>
        <rFont val="Noto Sans CJK SC"/>
        <family val="2"/>
      </rPr>
      <t xml:space="preserve">세전 타인자본비용 </t>
    </r>
    <r>
      <rPr>
        <sz val="10"/>
        <rFont val="Arial"/>
        <charset val="1"/>
      </rPr>
      <t>(Pre-tax cost of debt)</t>
    </r>
  </si>
  <si>
    <r>
      <rPr>
        <b/>
        <sz val="10"/>
        <rFont val="Noto Sans CJK SC"/>
        <family val="2"/>
      </rPr>
      <t xml:space="preserve">한계법인세율 </t>
    </r>
    <r>
      <rPr>
        <b/>
        <sz val="10"/>
        <rFont val="Arial"/>
        <charset val="1"/>
      </rPr>
      <t>(Marginal tax rate)</t>
    </r>
  </si>
  <si>
    <r>
      <rPr>
        <sz val="10"/>
        <rFont val="Noto Sans CJK SC"/>
        <family val="2"/>
      </rPr>
      <t xml:space="preserve">세후 타인자본비용 </t>
    </r>
    <r>
      <rPr>
        <sz val="10"/>
        <rFont val="Arial"/>
        <charset val="1"/>
      </rPr>
      <t>(After-tax cost of debt)</t>
    </r>
  </si>
  <si>
    <r>
      <rPr>
        <sz val="10"/>
        <rFont val="Noto Sans CJK SC"/>
        <family val="2"/>
      </rPr>
      <t xml:space="preserve">자기자본 비중 </t>
    </r>
    <r>
      <rPr>
        <sz val="10"/>
        <rFont val="Arial"/>
        <charset val="1"/>
      </rPr>
      <t>E/(D+E) (Weight of equity  E/(D+E))</t>
    </r>
  </si>
  <si>
    <r>
      <rPr>
        <sz val="10"/>
        <rFont val="Noto Sans CJK SC"/>
        <family val="2"/>
      </rPr>
      <t xml:space="preserve">타인자본 비중 </t>
    </r>
    <r>
      <rPr>
        <sz val="10"/>
        <rFont val="Arial"/>
        <charset val="1"/>
      </rPr>
      <t>D/(D+E) (Weight of debt  D/(D+E))</t>
    </r>
  </si>
  <si>
    <r>
      <rPr>
        <b/>
        <sz val="10"/>
        <rFont val="Noto Sans CJK SC"/>
        <family val="2"/>
      </rPr>
      <t xml:space="preserve">가중평균자본비용 </t>
    </r>
    <r>
      <rPr>
        <b/>
        <sz val="10"/>
        <rFont val="Arial"/>
        <charset val="1"/>
      </rPr>
      <t>(WACC)</t>
    </r>
  </si>
  <si>
    <r>
      <rPr>
        <i/>
        <sz val="9"/>
        <color rgb="FF666666"/>
        <rFont val="Noto Sans CJK SC"/>
        <family val="2"/>
      </rPr>
      <t>시장가치 기준 가중치입니다</t>
    </r>
    <r>
      <rPr>
        <i/>
        <sz val="9"/>
        <color rgb="FF666666"/>
        <rFont val="Arial"/>
        <charset val="1"/>
      </rPr>
      <t xml:space="preserve">. </t>
    </r>
    <r>
      <rPr>
        <i/>
        <sz val="9"/>
        <color rgb="FF666666"/>
        <rFont val="Noto Sans CJK SC"/>
        <family val="2"/>
      </rPr>
      <t xml:space="preserve">두 기업 모두 순차입금이 </t>
    </r>
    <r>
      <rPr>
        <i/>
        <sz val="9"/>
        <color rgb="FF666666"/>
        <rFont val="Arial"/>
        <charset val="1"/>
      </rPr>
      <t>0</t>
    </r>
    <r>
      <rPr>
        <i/>
        <sz val="9"/>
        <color rgb="FF666666"/>
        <rFont val="Noto Sans CJK SC"/>
        <family val="2"/>
      </rPr>
      <t xml:space="preserve">에 가까워 </t>
    </r>
    <r>
      <rPr>
        <i/>
        <sz val="9"/>
        <color rgb="FF666666"/>
        <rFont val="Arial"/>
        <charset val="1"/>
      </rPr>
      <t>WACC</t>
    </r>
    <r>
      <rPr>
        <i/>
        <sz val="9"/>
        <color rgb="FF666666"/>
        <rFont val="Noto Sans CJK SC"/>
        <family val="2"/>
      </rPr>
      <t>가 자기자본비용과 거의 같아집니다</t>
    </r>
    <r>
      <rPr>
        <i/>
        <sz val="9"/>
        <color rgb="FF666666"/>
        <rFont val="Arial"/>
        <charset val="1"/>
      </rPr>
      <t xml:space="preserve">. </t>
    </r>
    <r>
      <rPr>
        <i/>
        <sz val="9"/>
        <color rgb="FF666666"/>
        <rFont val="Noto Sans CJK SC"/>
        <family val="2"/>
      </rPr>
      <t>이 사례에서 자본구조 논의가 큰 의미를 갖지 못하는 이유이므로 수업에서 명시적으로 짚어주시기 바랍니다</t>
    </r>
    <r>
      <rPr>
        <i/>
        <sz val="9"/>
        <color rgb="FF666666"/>
        <rFont val="Arial"/>
        <charset val="1"/>
      </rPr>
      <t>.</t>
    </r>
  </si>
  <si>
    <r>
      <rPr>
        <b/>
        <sz val="11"/>
        <color rgb="FF1F4899"/>
        <rFont val="Arial"/>
        <charset val="1"/>
      </rPr>
      <t xml:space="preserve">3. FCFF </t>
    </r>
    <r>
      <rPr>
        <b/>
        <sz val="11"/>
        <color rgb="FF1F4899"/>
        <rFont val="Noto Sans CJK SC"/>
        <family val="2"/>
      </rPr>
      <t>추정</t>
    </r>
  </si>
  <si>
    <r>
      <rPr>
        <b/>
        <sz val="10"/>
        <color rgb="FFFFFFFF"/>
        <rFont val="Noto Sans CJK SC"/>
        <family val="2"/>
      </rPr>
      <t xml:space="preserve">연도 </t>
    </r>
    <r>
      <rPr>
        <b/>
        <sz val="10"/>
        <color rgb="FFFFFFFF"/>
        <rFont val="Arial"/>
        <charset val="1"/>
      </rPr>
      <t>(Year)</t>
    </r>
  </si>
  <si>
    <r>
      <rPr>
        <b/>
        <sz val="10"/>
        <color rgb="FFFFFFFF"/>
        <rFont val="Noto Sans CJK SC"/>
        <family val="2"/>
      </rPr>
      <t>기준연도</t>
    </r>
    <r>
      <rPr>
        <b/>
        <sz val="10"/>
        <color rgb="FFFFFFFF"/>
        <rFont val="Arial"/>
        <charset val="1"/>
      </rPr>
      <t>(</t>
    </r>
    <r>
      <rPr>
        <b/>
        <sz val="10"/>
        <color rgb="FFFFFFFF"/>
        <rFont val="Noto Sans CJK SC"/>
        <family val="2"/>
      </rPr>
      <t>최근</t>
    </r>
    <r>
      <rPr>
        <b/>
        <sz val="10"/>
        <color rgb="FFFFFFFF"/>
        <rFont val="Arial"/>
        <charset val="1"/>
      </rPr>
      <t>) (Base (latest))</t>
    </r>
  </si>
  <si>
    <t>+1</t>
  </si>
  <si>
    <t>+2</t>
  </si>
  <si>
    <t>+3</t>
  </si>
  <si>
    <t>+4</t>
  </si>
  <si>
    <t>+5</t>
  </si>
  <si>
    <r>
      <rPr>
        <b/>
        <sz val="10"/>
        <color rgb="FFFFFFFF"/>
        <rFont val="Noto Sans CJK SC"/>
        <family val="2"/>
      </rPr>
      <t xml:space="preserve">영구 </t>
    </r>
    <r>
      <rPr>
        <b/>
        <sz val="10"/>
        <color rgb="FFFFFFFF"/>
        <rFont val="Arial"/>
        <charset val="1"/>
      </rPr>
      <t>(Terminal)</t>
    </r>
  </si>
  <si>
    <r>
      <rPr>
        <b/>
        <sz val="10"/>
        <rFont val="Noto Sans CJK SC"/>
        <family val="2"/>
      </rPr>
      <t xml:space="preserve">영업이익 </t>
    </r>
    <r>
      <rPr>
        <b/>
        <sz val="10"/>
        <rFont val="Arial"/>
        <charset val="1"/>
      </rPr>
      <t>(EBIT)</t>
    </r>
  </si>
  <si>
    <r>
      <rPr>
        <sz val="10"/>
        <rFont val="Noto Sans CJK SC"/>
        <family val="2"/>
      </rPr>
      <t xml:space="preserve">  차감</t>
    </r>
    <r>
      <rPr>
        <sz val="10"/>
        <rFont val="Arial"/>
        <charset val="1"/>
      </rPr>
      <t xml:space="preserve">: </t>
    </r>
    <r>
      <rPr>
        <sz val="10"/>
        <rFont val="Noto Sans CJK SC"/>
        <family val="2"/>
      </rPr>
      <t xml:space="preserve">영업이익에 대한 법인세 </t>
    </r>
    <r>
      <rPr>
        <sz val="10"/>
        <rFont val="Arial"/>
        <charset val="1"/>
      </rPr>
      <t>(less: tax on EBIT)</t>
    </r>
  </si>
  <si>
    <r>
      <rPr>
        <b/>
        <sz val="10"/>
        <rFont val="Noto Sans CJK SC"/>
        <family val="2"/>
      </rPr>
      <t xml:space="preserve">세후영업이익 </t>
    </r>
    <r>
      <rPr>
        <b/>
        <sz val="10"/>
        <rFont val="Arial"/>
        <charset val="1"/>
      </rPr>
      <t>(NOPAT)</t>
    </r>
  </si>
  <si>
    <r>
      <rPr>
        <sz val="10"/>
        <rFont val="Noto Sans CJK SC"/>
        <family val="2"/>
      </rPr>
      <t xml:space="preserve">  가산</t>
    </r>
    <r>
      <rPr>
        <sz val="10"/>
        <rFont val="Arial"/>
        <charset val="1"/>
      </rPr>
      <t xml:space="preserve">: </t>
    </r>
    <r>
      <rPr>
        <sz val="10"/>
        <rFont val="Noto Sans CJK SC"/>
        <family val="2"/>
      </rPr>
      <t>감가상각비</t>
    </r>
    <r>
      <rPr>
        <sz val="10"/>
        <rFont val="Arial"/>
        <charset val="1"/>
      </rPr>
      <t>(</t>
    </r>
    <r>
      <rPr>
        <sz val="10"/>
        <rFont val="Noto Sans CJK SC"/>
        <family val="2"/>
      </rPr>
      <t>매출액 대비</t>
    </r>
    <r>
      <rPr>
        <sz val="10"/>
        <rFont val="Arial"/>
        <charset val="1"/>
      </rPr>
      <t>) (plus: D&amp;A (% of revenue))</t>
    </r>
  </si>
  <si>
    <r>
      <rPr>
        <sz val="10"/>
        <rFont val="Noto Sans CJK SC"/>
        <family val="2"/>
      </rPr>
      <t xml:space="preserve">  감가상각비 </t>
    </r>
    <r>
      <rPr>
        <sz val="10"/>
        <rFont val="Arial"/>
        <charset val="1"/>
      </rPr>
      <t>(D&amp;A)</t>
    </r>
  </si>
  <si>
    <r>
      <rPr>
        <sz val="10"/>
        <rFont val="Noto Sans CJK SC"/>
        <family val="2"/>
      </rPr>
      <t xml:space="preserve">  차감</t>
    </r>
    <r>
      <rPr>
        <sz val="10"/>
        <rFont val="Arial"/>
        <charset val="1"/>
      </rPr>
      <t xml:space="preserve">: </t>
    </r>
    <r>
      <rPr>
        <sz val="10"/>
        <rFont val="Noto Sans CJK SC"/>
        <family val="2"/>
      </rPr>
      <t>자본적지출</t>
    </r>
    <r>
      <rPr>
        <sz val="10"/>
        <rFont val="Arial"/>
        <charset val="1"/>
      </rPr>
      <t>(</t>
    </r>
    <r>
      <rPr>
        <sz val="10"/>
        <rFont val="Noto Sans CJK SC"/>
        <family val="2"/>
      </rPr>
      <t>매출액 대비</t>
    </r>
    <r>
      <rPr>
        <sz val="10"/>
        <rFont val="Arial"/>
        <charset val="1"/>
      </rPr>
      <t>) (less: capex (% of revenue))</t>
    </r>
  </si>
  <si>
    <r>
      <rPr>
        <i/>
        <sz val="9"/>
        <color rgb="FF666666"/>
        <rFont val="Noto Sans CJK SC"/>
        <family val="2"/>
      </rPr>
      <t>영구성장 구간에서는 자본적지출이 감가상각비 수준으로 수렴해야 합니다</t>
    </r>
    <r>
      <rPr>
        <i/>
        <sz val="9"/>
        <color rgb="FF666666"/>
        <rFont val="Arial"/>
        <charset val="1"/>
      </rPr>
      <t xml:space="preserve">. </t>
    </r>
    <r>
      <rPr>
        <i/>
        <sz val="9"/>
        <color rgb="FF666666"/>
        <rFont val="Noto Sans CJK SC"/>
        <family val="2"/>
      </rPr>
      <t>그렇지 않으면 투자 없이 영원히 성장하는 기업이 됩니다</t>
    </r>
    <r>
      <rPr>
        <i/>
        <sz val="9"/>
        <color rgb="FF666666"/>
        <rFont val="Arial"/>
        <charset val="1"/>
      </rPr>
      <t>.</t>
    </r>
  </si>
  <si>
    <r>
      <rPr>
        <sz val="10"/>
        <rFont val="Noto Sans CJK SC"/>
        <family val="2"/>
      </rPr>
      <t xml:space="preserve">  자본적지출 </t>
    </r>
    <r>
      <rPr>
        <sz val="10"/>
        <rFont val="Arial"/>
        <charset val="1"/>
      </rPr>
      <t>(Capex)</t>
    </r>
  </si>
  <si>
    <r>
      <rPr>
        <sz val="10"/>
        <rFont val="Noto Sans CJK SC"/>
        <family val="2"/>
      </rPr>
      <t xml:space="preserve">  차감</t>
    </r>
    <r>
      <rPr>
        <sz val="10"/>
        <rFont val="Arial"/>
        <charset val="1"/>
      </rPr>
      <t xml:space="preserve">: </t>
    </r>
    <r>
      <rPr>
        <sz val="10"/>
        <rFont val="Noto Sans CJK SC"/>
        <family val="2"/>
      </rPr>
      <t xml:space="preserve">운전자본 증가 </t>
    </r>
    <r>
      <rPr>
        <sz val="10"/>
        <rFont val="Arial"/>
        <charset val="1"/>
      </rPr>
      <t>(less: increase in working capital)</t>
    </r>
  </si>
  <si>
    <r>
      <rPr>
        <i/>
        <sz val="9"/>
        <color rgb="FF666666"/>
        <rFont val="Noto Sans CJK SC"/>
        <family val="2"/>
      </rPr>
      <t>매출액 증감액 대비 비율입니다</t>
    </r>
    <r>
      <rPr>
        <i/>
        <sz val="9"/>
        <color rgb="FF666666"/>
        <rFont val="Arial"/>
        <charset val="1"/>
      </rPr>
      <t xml:space="preserve">. </t>
    </r>
    <r>
      <rPr>
        <i/>
        <sz val="9"/>
        <color rgb="FF666666"/>
        <rFont val="Noto Sans CJK SC"/>
        <family val="2"/>
      </rPr>
      <t xml:space="preserve">메모리와 </t>
    </r>
    <r>
      <rPr>
        <i/>
        <sz val="9"/>
        <color rgb="FF666666"/>
        <rFont val="Arial"/>
        <charset val="1"/>
      </rPr>
      <t xml:space="preserve">GPU </t>
    </r>
    <r>
      <rPr>
        <i/>
        <sz val="9"/>
        <color rgb="FF666666"/>
        <rFont val="Noto Sans CJK SC"/>
        <family val="2"/>
      </rPr>
      <t>사이클은 운전자본 소요가 큽니다</t>
    </r>
    <r>
      <rPr>
        <i/>
        <sz val="9"/>
        <color rgb="FF666666"/>
        <rFont val="Arial"/>
        <charset val="1"/>
      </rPr>
      <t xml:space="preserve">. </t>
    </r>
    <r>
      <rPr>
        <i/>
        <sz val="9"/>
        <color rgb="FF666666"/>
        <rFont val="Noto Sans CJK SC"/>
        <family val="2"/>
      </rPr>
      <t>원자료 탭에서 재고자산과 매출채권 증가율을 확인하십시오</t>
    </r>
    <r>
      <rPr>
        <i/>
        <sz val="9"/>
        <color rgb="FF666666"/>
        <rFont val="Arial"/>
        <charset val="1"/>
      </rPr>
      <t>.</t>
    </r>
  </si>
  <si>
    <r>
      <rPr>
        <sz val="10"/>
        <rFont val="Noto Sans CJK SC"/>
        <family val="2"/>
      </rPr>
      <t xml:space="preserve">  운전자본 증감 </t>
    </r>
    <r>
      <rPr>
        <sz val="10"/>
        <rFont val="Arial"/>
        <charset val="1"/>
      </rPr>
      <t>(Change in working capital)</t>
    </r>
  </si>
  <si>
    <r>
      <rPr>
        <sz val="10"/>
        <rFont val="Noto Sans CJK SC"/>
        <family val="2"/>
      </rPr>
      <t xml:space="preserve">  참고</t>
    </r>
    <r>
      <rPr>
        <sz val="10"/>
        <rFont val="Arial"/>
        <charset val="1"/>
      </rPr>
      <t xml:space="preserve">: FCFF </t>
    </r>
    <r>
      <rPr>
        <sz val="10"/>
        <rFont val="Noto Sans CJK SC"/>
        <family val="2"/>
      </rPr>
      <t xml:space="preserve">마진 </t>
    </r>
    <r>
      <rPr>
        <sz val="10"/>
        <rFont val="Arial"/>
        <charset val="1"/>
      </rPr>
      <t>(memo: FCFF margin)</t>
    </r>
  </si>
  <si>
    <r>
      <rPr>
        <b/>
        <sz val="11"/>
        <color rgb="FF1F4899"/>
        <rFont val="Arial"/>
        <charset val="1"/>
      </rPr>
      <t xml:space="preserve">4. </t>
    </r>
    <r>
      <rPr>
        <b/>
        <sz val="11"/>
        <color rgb="FF1F4899"/>
        <rFont val="Noto Sans CJK SC"/>
        <family val="2"/>
      </rPr>
      <t>할인 및 기업가치 산정</t>
    </r>
  </si>
  <si>
    <r>
      <rPr>
        <b/>
        <sz val="10"/>
        <rFont val="Noto Sans CJK SC"/>
        <family val="2"/>
      </rPr>
      <t xml:space="preserve">영구성장률 </t>
    </r>
    <r>
      <rPr>
        <b/>
        <sz val="10"/>
        <rFont val="Arial"/>
        <charset val="1"/>
      </rPr>
      <t>(Terminal growth rate)</t>
    </r>
  </si>
  <si>
    <r>
      <rPr>
        <i/>
        <sz val="9"/>
        <color rgb="FF666666"/>
        <rFont val="Noto Sans CJK SC"/>
        <family val="2"/>
      </rPr>
      <t xml:space="preserve">장기 명목 </t>
    </r>
    <r>
      <rPr>
        <i/>
        <sz val="9"/>
        <color rgb="FF666666"/>
        <rFont val="Arial"/>
        <charset val="1"/>
      </rPr>
      <t xml:space="preserve">GDP </t>
    </r>
    <r>
      <rPr>
        <i/>
        <sz val="9"/>
        <color rgb="FF666666"/>
        <rFont val="Noto Sans CJK SC"/>
        <family val="2"/>
      </rPr>
      <t>성장률보다 낮아야 합니다</t>
    </r>
    <r>
      <rPr>
        <i/>
        <sz val="9"/>
        <color rgb="FF666666"/>
        <rFont val="Arial"/>
        <charset val="1"/>
      </rPr>
      <t>. WACC</t>
    </r>
    <r>
      <rPr>
        <i/>
        <sz val="9"/>
        <color rgb="FF666666"/>
        <rFont val="Noto Sans CJK SC"/>
        <family val="2"/>
      </rPr>
      <t>를 넘으면 공식이 성립하지 않습니다</t>
    </r>
    <r>
      <rPr>
        <i/>
        <sz val="9"/>
        <color rgb="FF666666"/>
        <rFont val="Arial"/>
        <charset val="1"/>
      </rPr>
      <t>.</t>
    </r>
  </si>
  <si>
    <r>
      <rPr>
        <sz val="10"/>
        <rFont val="Noto Sans CJK SC"/>
        <family val="2"/>
      </rPr>
      <t xml:space="preserve">현가계수 </t>
    </r>
    <r>
      <rPr>
        <sz val="10"/>
        <rFont val="Arial"/>
        <charset val="1"/>
      </rPr>
      <t>(Discount factor)</t>
    </r>
  </si>
  <si>
    <r>
      <rPr>
        <sz val="10"/>
        <rFont val="Arial"/>
        <charset val="1"/>
      </rPr>
      <t xml:space="preserve">FCFF </t>
    </r>
    <r>
      <rPr>
        <sz val="10"/>
        <rFont val="Noto Sans CJK SC"/>
        <family val="2"/>
      </rPr>
      <t xml:space="preserve">현재가치 </t>
    </r>
    <r>
      <rPr>
        <sz val="10"/>
        <rFont val="Arial"/>
        <charset val="1"/>
      </rPr>
      <t>(PV of FCFF)</t>
    </r>
  </si>
  <si>
    <r>
      <rPr>
        <b/>
        <sz val="10"/>
        <rFont val="Noto Sans CJK SC"/>
        <family val="2"/>
      </rPr>
      <t xml:space="preserve">명시적 예측기간 현재가치 합계 </t>
    </r>
    <r>
      <rPr>
        <b/>
        <sz val="10"/>
        <rFont val="Arial"/>
        <charset val="1"/>
      </rPr>
      <t>(Sum of PV, explicit period)</t>
    </r>
  </si>
  <si>
    <r>
      <rPr>
        <sz val="10"/>
        <rFont val="Arial"/>
        <charset val="1"/>
      </rPr>
      <t>5</t>
    </r>
    <r>
      <rPr>
        <sz val="10"/>
        <rFont val="Noto Sans CJK SC"/>
        <family val="2"/>
      </rPr>
      <t xml:space="preserve">차연도 영구가치 </t>
    </r>
    <r>
      <rPr>
        <sz val="10"/>
        <rFont val="Arial"/>
        <charset val="1"/>
      </rPr>
      <t>(Terminal value at year 5)</t>
    </r>
  </si>
  <si>
    <r>
      <rPr>
        <i/>
        <sz val="9"/>
        <color rgb="FF666666"/>
        <rFont val="Arial"/>
        <charset val="1"/>
      </rPr>
      <t>5</t>
    </r>
    <r>
      <rPr>
        <i/>
        <sz val="9"/>
        <color rgb="FF666666"/>
        <rFont val="Noto Sans CJK SC"/>
        <family val="2"/>
      </rPr>
      <t xml:space="preserve">차연도 </t>
    </r>
    <r>
      <rPr>
        <i/>
        <sz val="9"/>
        <color rgb="FF666666"/>
        <rFont val="Arial"/>
        <charset val="1"/>
      </rPr>
      <t>FCFF</t>
    </r>
    <r>
      <rPr>
        <i/>
        <sz val="9"/>
        <color rgb="FF666666"/>
        <rFont val="Noto Sans CJK SC"/>
        <family val="2"/>
      </rPr>
      <t>에 고든성장모형을 적용했습니다</t>
    </r>
    <r>
      <rPr>
        <i/>
        <sz val="9"/>
        <color rgb="FF666666"/>
        <rFont val="Arial"/>
        <charset val="1"/>
      </rPr>
      <t>.</t>
    </r>
  </si>
  <si>
    <r>
      <rPr>
        <b/>
        <sz val="10"/>
        <rFont val="Noto Sans CJK SC"/>
        <family val="2"/>
      </rPr>
      <t xml:space="preserve">영구가치의 현재가치 </t>
    </r>
    <r>
      <rPr>
        <b/>
        <sz val="10"/>
        <rFont val="Arial"/>
        <charset val="1"/>
      </rPr>
      <t>(PV of terminal value)</t>
    </r>
  </si>
  <si>
    <r>
      <rPr>
        <sz val="10"/>
        <rFont val="Noto Sans CJK SC"/>
        <family val="2"/>
      </rPr>
      <t xml:space="preserve">  영구가치가 기업가치에서 차지하는 비중 </t>
    </r>
    <r>
      <rPr>
        <sz val="10"/>
        <rFont val="Arial"/>
        <charset val="1"/>
      </rPr>
      <t>(Terminal value as % of EV)</t>
    </r>
  </si>
  <si>
    <r>
      <rPr>
        <i/>
        <sz val="9"/>
        <color rgb="FF666666"/>
        <rFont val="Noto Sans CJK SC"/>
        <family val="2"/>
      </rPr>
      <t xml:space="preserve">이 비중이 약 </t>
    </r>
    <r>
      <rPr>
        <i/>
        <sz val="9"/>
        <color rgb="FF666666"/>
        <rFont val="Arial"/>
        <charset val="1"/>
      </rPr>
      <t>75%</t>
    </r>
    <r>
      <rPr>
        <i/>
        <sz val="9"/>
        <color rgb="FF666666"/>
        <rFont val="Noto Sans CJK SC"/>
        <family val="2"/>
      </rPr>
      <t>를 넘으면 모형은 사실상 추정치가 아니라 영구가치 가정에 베팅하는 것입니다</t>
    </r>
    <r>
      <rPr>
        <i/>
        <sz val="9"/>
        <color rgb="FF666666"/>
        <rFont val="Arial"/>
        <charset val="1"/>
      </rPr>
      <t xml:space="preserve">. </t>
    </r>
    <r>
      <rPr>
        <i/>
        <sz val="9"/>
        <color rgb="FF666666"/>
        <rFont val="Noto Sans CJK SC"/>
        <family val="2"/>
      </rPr>
      <t>학생들에게 매번 짚어줄 필요가 있습니다</t>
    </r>
    <r>
      <rPr>
        <i/>
        <sz val="9"/>
        <color rgb="FF666666"/>
        <rFont val="Arial"/>
        <charset val="1"/>
      </rPr>
      <t>.</t>
    </r>
  </si>
  <si>
    <r>
      <rPr>
        <b/>
        <sz val="10"/>
        <rFont val="Noto Sans CJK SC"/>
        <family val="2"/>
      </rPr>
      <t xml:space="preserve">기업가치 </t>
    </r>
    <r>
      <rPr>
        <b/>
        <sz val="10"/>
        <rFont val="Arial"/>
        <charset val="1"/>
      </rPr>
      <t>(ENTERPRISE VALUE)</t>
    </r>
  </si>
  <si>
    <r>
      <rPr>
        <b/>
        <sz val="11"/>
        <color rgb="FF1F4899"/>
        <rFont val="Arial"/>
        <charset val="1"/>
      </rPr>
      <t xml:space="preserve">5. </t>
    </r>
    <r>
      <rPr>
        <b/>
        <sz val="11"/>
        <color rgb="FF1F4899"/>
        <rFont val="Noto Sans CJK SC"/>
        <family val="2"/>
      </rPr>
      <t>자기자본가치 조정 — 기업가치에서 주당가치까지</t>
    </r>
  </si>
  <si>
    <r>
      <rPr>
        <sz val="10"/>
        <rFont val="Noto Sans CJK SC"/>
        <family val="2"/>
      </rPr>
      <t>기업가치</t>
    </r>
    <r>
      <rPr>
        <sz val="10"/>
        <rFont val="Arial"/>
        <charset val="1"/>
      </rPr>
      <t>(</t>
    </r>
    <r>
      <rPr>
        <sz val="10"/>
        <rFont val="Noto Sans CJK SC"/>
        <family val="2"/>
      </rPr>
      <t>영업자산</t>
    </r>
    <r>
      <rPr>
        <sz val="10"/>
        <rFont val="Arial"/>
        <charset val="1"/>
      </rPr>
      <t>) (Enterprise value (operating assets))</t>
    </r>
  </si>
  <si>
    <r>
      <rPr>
        <sz val="10"/>
        <rFont val="Noto Sans CJK SC"/>
        <family val="2"/>
      </rPr>
      <t>가산</t>
    </r>
    <r>
      <rPr>
        <sz val="10"/>
        <rFont val="Arial"/>
        <charset val="1"/>
      </rPr>
      <t xml:space="preserve">: </t>
    </r>
    <r>
      <rPr>
        <sz val="10"/>
        <rFont val="Noto Sans CJK SC"/>
        <family val="2"/>
      </rPr>
      <t xml:space="preserve">현금및유가증권 </t>
    </r>
    <r>
      <rPr>
        <sz val="10"/>
        <rFont val="Arial"/>
        <charset val="1"/>
      </rPr>
      <t>(plus: cash &amp; marketable securities)</t>
    </r>
  </si>
  <si>
    <r>
      <rPr>
        <sz val="10"/>
        <rFont val="Noto Sans CJK SC"/>
        <family val="2"/>
      </rPr>
      <t>가산</t>
    </r>
    <r>
      <rPr>
        <sz val="10"/>
        <rFont val="Arial"/>
        <charset val="1"/>
      </rPr>
      <t xml:space="preserve">: </t>
    </r>
    <r>
      <rPr>
        <sz val="10"/>
        <rFont val="Noto Sans CJK SC"/>
        <family val="2"/>
      </rPr>
      <t xml:space="preserve">기타 비영업투자자산 </t>
    </r>
    <r>
      <rPr>
        <sz val="10"/>
        <rFont val="Arial"/>
        <charset val="1"/>
      </rPr>
      <t>(plus: other non-operating investments)</t>
    </r>
  </si>
  <si>
    <r>
      <rPr>
        <sz val="10"/>
        <rFont val="Noto Sans CJK SC"/>
        <family val="2"/>
      </rPr>
      <t>차감</t>
    </r>
    <r>
      <rPr>
        <sz val="10"/>
        <rFont val="Arial"/>
        <charset val="1"/>
      </rPr>
      <t xml:space="preserve">: </t>
    </r>
    <r>
      <rPr>
        <sz val="10"/>
        <rFont val="Noto Sans CJK SC"/>
        <family val="2"/>
      </rPr>
      <t xml:space="preserve">총차입금 </t>
    </r>
    <r>
      <rPr>
        <sz val="10"/>
        <rFont val="Arial"/>
        <charset val="1"/>
      </rPr>
      <t>(less: total debt)</t>
    </r>
  </si>
  <si>
    <r>
      <rPr>
        <sz val="10"/>
        <rFont val="Noto Sans CJK SC"/>
        <family val="2"/>
      </rPr>
      <t>차감</t>
    </r>
    <r>
      <rPr>
        <sz val="10"/>
        <rFont val="Arial"/>
        <charset val="1"/>
      </rPr>
      <t xml:space="preserve">: </t>
    </r>
    <r>
      <rPr>
        <sz val="10"/>
        <rFont val="Noto Sans CJK SC"/>
        <family val="2"/>
      </rPr>
      <t>리스부채</t>
    </r>
    <r>
      <rPr>
        <sz val="10"/>
        <rFont val="Arial"/>
        <charset val="1"/>
      </rPr>
      <t>(</t>
    </r>
    <r>
      <rPr>
        <sz val="10"/>
        <rFont val="Noto Sans CJK SC"/>
        <family val="2"/>
      </rPr>
      <t>차입금 성격</t>
    </r>
    <r>
      <rPr>
        <sz val="10"/>
        <rFont val="Arial"/>
        <charset val="1"/>
      </rPr>
      <t>) (less: lease liabilities (debt-like))</t>
    </r>
  </si>
  <si>
    <r>
      <rPr>
        <b/>
        <sz val="10"/>
        <rFont val="Noto Sans CJK SC"/>
        <family val="2"/>
      </rPr>
      <t xml:space="preserve">자기자본가치 </t>
    </r>
    <r>
      <rPr>
        <b/>
        <sz val="10"/>
        <rFont val="Arial"/>
        <charset val="1"/>
      </rPr>
      <t>(EQUITY VALUE)</t>
    </r>
  </si>
  <si>
    <r>
      <rPr>
        <b/>
        <sz val="10"/>
        <rFont val="Noto Sans CJK SC"/>
        <family val="2"/>
      </rPr>
      <t xml:space="preserve">주당가치 </t>
    </r>
    <r>
      <rPr>
        <b/>
        <sz val="10"/>
        <rFont val="Arial"/>
        <charset val="1"/>
      </rPr>
      <t>(VALUE PER SHARE)</t>
    </r>
  </si>
  <si>
    <r>
      <rPr>
        <sz val="10"/>
        <rFont val="Noto Sans CJK SC"/>
        <family val="2"/>
      </rPr>
      <t xml:space="preserve">현재 주가 </t>
    </r>
    <r>
      <rPr>
        <sz val="10"/>
        <rFont val="Arial"/>
        <charset val="1"/>
      </rPr>
      <t>(Current share price)</t>
    </r>
  </si>
  <si>
    <r>
      <rPr>
        <b/>
        <sz val="10"/>
        <rFont val="Noto Sans CJK SC"/>
        <family val="2"/>
      </rPr>
      <t>상승여력</t>
    </r>
    <r>
      <rPr>
        <b/>
        <sz val="10"/>
        <rFont val="Arial"/>
        <charset val="1"/>
      </rPr>
      <t>/(</t>
    </r>
    <r>
      <rPr>
        <b/>
        <sz val="10"/>
        <rFont val="Noto Sans CJK SC"/>
        <family val="2"/>
      </rPr>
      <t>하락위험</t>
    </r>
    <r>
      <rPr>
        <b/>
        <sz val="10"/>
        <rFont val="Arial"/>
        <charset val="1"/>
      </rPr>
      <t>) (Upside / (downside))</t>
    </r>
  </si>
  <si>
    <r>
      <rPr>
        <i/>
        <sz val="9"/>
        <color rgb="FF666666"/>
        <rFont val="Noto Sans CJK SC"/>
        <family val="2"/>
      </rPr>
      <t>학생들이 이를 투자의견으로 받아들이지 않도록 하십시오</t>
    </r>
    <r>
      <rPr>
        <i/>
        <sz val="9"/>
        <color rgb="FF666666"/>
        <rFont val="Arial"/>
        <charset val="1"/>
      </rPr>
      <t xml:space="preserve">. </t>
    </r>
    <r>
      <rPr>
        <i/>
        <sz val="9"/>
        <color rgb="FF666666"/>
        <rFont val="Noto Sans CJK SC"/>
        <family val="2"/>
      </rPr>
      <t>이는 학생 자신의 가정이 만들어낸 결과이며</t>
    </r>
    <r>
      <rPr>
        <i/>
        <sz val="9"/>
        <color rgb="FF666666"/>
        <rFont val="Arial"/>
        <charset val="1"/>
      </rPr>
      <t xml:space="preserve">, </t>
    </r>
    <r>
      <rPr>
        <i/>
        <sz val="9"/>
        <color rgb="FF666666"/>
        <rFont val="Noto Sans CJK SC"/>
        <family val="2"/>
      </rPr>
      <t>아래 민감도 표가 그 결과가 얼마나 취약한지를 보여줍니다</t>
    </r>
    <r>
      <rPr>
        <i/>
        <sz val="9"/>
        <color rgb="FF666666"/>
        <rFont val="Arial"/>
        <charset val="1"/>
      </rPr>
      <t>.</t>
    </r>
  </si>
  <si>
    <r>
      <rPr>
        <b/>
        <sz val="11"/>
        <color rgb="FF1F4899"/>
        <rFont val="Arial"/>
        <charset val="1"/>
      </rPr>
      <t xml:space="preserve">6. </t>
    </r>
    <r>
      <rPr>
        <b/>
        <sz val="11"/>
        <color rgb="FF1F4899"/>
        <rFont val="Noto Sans CJK SC"/>
        <family val="2"/>
      </rPr>
      <t xml:space="preserve">민감도 분석 — </t>
    </r>
    <r>
      <rPr>
        <b/>
        <sz val="11"/>
        <color rgb="FF1F4899"/>
        <rFont val="Arial"/>
        <charset val="1"/>
      </rPr>
      <t xml:space="preserve">WACC </t>
    </r>
    <r>
      <rPr>
        <b/>
        <sz val="11"/>
        <color rgb="FF1F4899"/>
        <rFont val="Noto Sans CJK SC"/>
        <family val="2"/>
      </rPr>
      <t>및 영구성장률에 따른 주당가치</t>
    </r>
  </si>
  <si>
    <r>
      <rPr>
        <b/>
        <sz val="10"/>
        <rFont val="Noto Sans CJK SC"/>
        <family val="2"/>
      </rPr>
      <t xml:space="preserve">영구성장률  → </t>
    </r>
    <r>
      <rPr>
        <b/>
        <sz val="10"/>
        <rFont val="Arial"/>
        <charset val="1"/>
      </rPr>
      <t>(Terminal growth  →)</t>
    </r>
  </si>
  <si>
    <t>WACC ↓</t>
  </si>
  <si>
    <r>
      <rPr>
        <i/>
        <sz val="9"/>
        <color rgb="FF666666"/>
        <rFont val="Noto Sans CJK SC"/>
        <family val="2"/>
      </rPr>
      <t xml:space="preserve">위의 각 셀은 해당 </t>
    </r>
    <r>
      <rPr>
        <i/>
        <sz val="9"/>
        <color rgb="FF666666"/>
        <rFont val="Arial"/>
        <charset val="1"/>
      </rPr>
      <t>WACC</t>
    </r>
    <r>
      <rPr>
        <i/>
        <sz val="9"/>
        <color rgb="FF666666"/>
        <rFont val="Noto Sans CJK SC"/>
        <family val="2"/>
      </rPr>
      <t xml:space="preserve">와 영구성장률로 </t>
    </r>
    <r>
      <rPr>
        <i/>
        <sz val="9"/>
        <color rgb="FF666666"/>
        <rFont val="Arial"/>
        <charset val="1"/>
      </rPr>
      <t xml:space="preserve">DCF </t>
    </r>
    <r>
      <rPr>
        <i/>
        <sz val="9"/>
        <color rgb="FF666666"/>
        <rFont val="Noto Sans CJK SC"/>
        <family val="2"/>
      </rPr>
      <t>전체를 다시 계산한 뒤 동일한 자기자본가치 조정을 적용한 값입니다</t>
    </r>
    <r>
      <rPr>
        <i/>
        <sz val="9"/>
        <color rgb="FF666666"/>
        <rFont val="Arial"/>
        <charset val="1"/>
      </rPr>
      <t>. 'n/a'</t>
    </r>
    <r>
      <rPr>
        <i/>
        <sz val="9"/>
        <color rgb="FF666666"/>
        <rFont val="Noto Sans CJK SC"/>
        <family val="2"/>
      </rPr>
      <t xml:space="preserve">는 영구성장률이 </t>
    </r>
    <r>
      <rPr>
        <i/>
        <sz val="9"/>
        <color rgb="FF666666"/>
        <rFont val="Arial"/>
        <charset val="1"/>
      </rPr>
      <t xml:space="preserve">WACC </t>
    </r>
    <r>
      <rPr>
        <i/>
        <sz val="9"/>
        <color rgb="FF666666"/>
        <rFont val="Noto Sans CJK SC"/>
        <family val="2"/>
      </rPr>
      <t>이상이어서 고든성장모형이 성립하지 않는 경우입니다</t>
    </r>
    <r>
      <rPr>
        <i/>
        <sz val="9"/>
        <color rgb="FF666666"/>
        <rFont val="Arial"/>
        <charset val="1"/>
      </rPr>
      <t>.</t>
    </r>
  </si>
  <si>
    <r>
      <rPr>
        <b/>
        <sz val="14"/>
        <color rgb="FF1F4899"/>
        <rFont val="Arial"/>
        <charset val="1"/>
      </rPr>
      <t xml:space="preserve">SK hynix — FCFF </t>
    </r>
    <r>
      <rPr>
        <b/>
        <sz val="14"/>
        <color rgb="FF1F4899"/>
        <rFont val="Noto Sans CJK SC"/>
        <family val="2"/>
      </rPr>
      <t>현금흐름할인법</t>
    </r>
  </si>
  <si>
    <r>
      <rPr>
        <i/>
        <sz val="9"/>
        <color rgb="FF666666"/>
        <rFont val="Noto Sans CJK SC"/>
        <family val="2"/>
      </rPr>
      <t>단위</t>
    </r>
    <r>
      <rPr>
        <i/>
        <sz val="9"/>
        <color rgb="FF666666"/>
        <rFont val="Arial"/>
        <charset val="1"/>
      </rPr>
      <t xml:space="preserve">: </t>
    </r>
    <r>
      <rPr>
        <i/>
        <sz val="9"/>
        <color rgb="FF666666"/>
        <rFont val="Noto Sans CJK SC"/>
        <family val="2"/>
      </rPr>
      <t>십억 원</t>
    </r>
    <r>
      <rPr>
        <i/>
        <sz val="9"/>
        <color rgb="FF666666"/>
        <rFont val="Arial"/>
        <charset val="1"/>
      </rPr>
      <t>(</t>
    </r>
    <r>
      <rPr>
        <i/>
        <sz val="9"/>
        <color rgb="FF666666"/>
        <rFont val="Noto Sans CJK SC"/>
        <family val="2"/>
      </rPr>
      <t>주당 금액 제외</t>
    </r>
    <r>
      <rPr>
        <i/>
        <sz val="9"/>
        <color rgb="FF666666"/>
        <rFont val="Arial"/>
        <charset val="1"/>
      </rPr>
      <t xml:space="preserve">). </t>
    </r>
    <r>
      <rPr>
        <i/>
        <sz val="9"/>
        <color rgb="FF666666"/>
        <rFont val="Noto Sans CJK SC"/>
        <family val="2"/>
      </rPr>
      <t xml:space="preserve">기준연도 </t>
    </r>
    <r>
      <rPr>
        <i/>
        <sz val="9"/>
        <color rgb="FF666666"/>
        <rFont val="Arial"/>
        <charset val="1"/>
      </rPr>
      <t>= 2025</t>
    </r>
    <r>
      <rPr>
        <i/>
        <sz val="9"/>
        <color rgb="FF666666"/>
        <rFont val="Noto Sans CJK SC"/>
        <family val="2"/>
      </rPr>
      <t>년</t>
    </r>
    <r>
      <rPr>
        <i/>
        <sz val="9"/>
        <color rgb="FF666666"/>
        <rFont val="Arial"/>
        <charset val="1"/>
      </rPr>
      <t>(2025</t>
    </r>
    <r>
      <rPr>
        <i/>
        <sz val="9"/>
        <color rgb="FF666666"/>
        <rFont val="Noto Sans CJK SC"/>
        <family val="2"/>
      </rPr>
      <t xml:space="preserve">년 </t>
    </r>
    <r>
      <rPr>
        <i/>
        <sz val="9"/>
        <color rgb="FF666666"/>
        <rFont val="Arial"/>
        <charset val="1"/>
      </rPr>
      <t>12</t>
    </r>
    <r>
      <rPr>
        <i/>
        <sz val="9"/>
        <color rgb="FF666666"/>
        <rFont val="Noto Sans CJK SC"/>
        <family val="2"/>
      </rPr>
      <t xml:space="preserve">월 </t>
    </r>
    <r>
      <rPr>
        <i/>
        <sz val="9"/>
        <color rgb="FF666666"/>
        <rFont val="Arial"/>
        <charset val="1"/>
      </rPr>
      <t>31</t>
    </r>
    <r>
      <rPr>
        <i/>
        <sz val="9"/>
        <color rgb="FF666666"/>
        <rFont val="Noto Sans CJK SC"/>
        <family val="2"/>
      </rPr>
      <t>일 종료</t>
    </r>
    <r>
      <rPr>
        <i/>
        <sz val="9"/>
        <color rgb="FF666666"/>
        <rFont val="Arial"/>
        <charset val="1"/>
      </rPr>
      <t>).</t>
    </r>
  </si>
  <si>
    <r>
      <rPr>
        <i/>
        <sz val="9"/>
        <color rgb="FF666666"/>
        <rFont val="Noto Sans CJK SC"/>
        <family val="2"/>
      </rPr>
      <t>기준일</t>
    </r>
    <r>
      <rPr>
        <i/>
        <sz val="9"/>
        <color rgb="FF666666"/>
        <rFont val="Arial"/>
        <charset val="1"/>
      </rPr>
      <t>: 2026-08-04</t>
    </r>
  </si>
  <si>
    <r>
      <rPr>
        <i/>
        <sz val="9"/>
        <color rgb="FF666666"/>
        <rFont val="Noto Sans CJK SC"/>
        <family val="2"/>
      </rPr>
      <t>재무제표는 십억 원</t>
    </r>
    <r>
      <rPr>
        <i/>
        <sz val="9"/>
        <color rgb="FF666666"/>
        <rFont val="Arial"/>
        <charset val="1"/>
      </rPr>
      <t xml:space="preserve">, </t>
    </r>
    <r>
      <rPr>
        <i/>
        <sz val="9"/>
        <color rgb="FF666666"/>
        <rFont val="Noto Sans CJK SC"/>
        <family val="2"/>
      </rPr>
      <t>주식수는 백만 주</t>
    </r>
    <r>
      <rPr>
        <i/>
        <sz val="9"/>
        <color rgb="FF666666"/>
        <rFont val="Arial"/>
        <charset val="1"/>
      </rPr>
      <t xml:space="preserve">, </t>
    </r>
    <r>
      <rPr>
        <i/>
        <sz val="9"/>
        <color rgb="FF666666"/>
        <rFont val="Noto Sans CJK SC"/>
        <family val="2"/>
      </rPr>
      <t xml:space="preserve">주가는 원 단위이므로 주당가치를 구하려면 자기자본가치에 </t>
    </r>
    <r>
      <rPr>
        <i/>
        <sz val="9"/>
        <color rgb="FF666666"/>
        <rFont val="Arial"/>
        <charset val="1"/>
      </rPr>
      <t>1,000</t>
    </r>
    <r>
      <rPr>
        <i/>
        <sz val="9"/>
        <color rgb="FF666666"/>
        <rFont val="Noto Sans CJK SC"/>
        <family val="2"/>
      </rPr>
      <t>을 곱해야 합니다</t>
    </r>
    <r>
      <rPr>
        <i/>
        <sz val="9"/>
        <color rgb="FF666666"/>
        <rFont val="Arial"/>
        <charset val="1"/>
      </rPr>
      <t>.</t>
    </r>
  </si>
  <si>
    <r>
      <rPr>
        <i/>
        <sz val="9"/>
        <color rgb="FF666666"/>
        <rFont val="Noto Sans CJK SC"/>
        <family val="2"/>
      </rPr>
      <t xml:space="preserve">한국 </t>
    </r>
    <r>
      <rPr>
        <i/>
        <sz val="9"/>
        <color rgb="FF666666"/>
        <rFont val="Arial"/>
        <charset val="1"/>
      </rPr>
      <t>10</t>
    </r>
    <r>
      <rPr>
        <i/>
        <sz val="9"/>
        <color rgb="FF666666"/>
        <rFont val="Noto Sans CJK SC"/>
        <family val="2"/>
      </rPr>
      <t>년 국고채 수익률 근사치</t>
    </r>
    <r>
      <rPr>
        <i/>
        <sz val="9"/>
        <color rgb="FF666666"/>
        <rFont val="Arial"/>
        <charset val="1"/>
      </rPr>
      <t xml:space="preserve">. </t>
    </r>
    <r>
      <rPr>
        <i/>
        <sz val="9"/>
        <color rgb="FF666666"/>
        <rFont val="Noto Sans CJK SC"/>
        <family val="2"/>
      </rPr>
      <t>강의 당일 업데이트하십시오</t>
    </r>
    <r>
      <rPr>
        <i/>
        <sz val="9"/>
        <color rgb="FF666666"/>
        <rFont val="Arial"/>
        <charset val="1"/>
      </rPr>
      <t>.</t>
    </r>
  </si>
  <si>
    <r>
      <rPr>
        <i/>
        <sz val="9"/>
        <color rgb="FF666666"/>
        <rFont val="Noto Sans CJK SC"/>
        <family val="2"/>
      </rPr>
      <t>선진시장 시장위험프리미엄에 한국 국가위험프리미엄을 가산한 값입니다</t>
    </r>
    <r>
      <rPr>
        <i/>
        <sz val="9"/>
        <color rgb="FF666666"/>
        <rFont val="Arial"/>
        <charset val="1"/>
      </rPr>
      <t>.</t>
    </r>
  </si>
  <si>
    <r>
      <rPr>
        <i/>
        <sz val="9"/>
        <color rgb="FF666666"/>
        <rFont val="Arial"/>
        <charset val="1"/>
      </rPr>
      <t>000660</t>
    </r>
    <r>
      <rPr>
        <i/>
        <sz val="9"/>
        <color rgb="FF666666"/>
        <rFont val="Noto Sans CJK SC"/>
        <family val="2"/>
      </rPr>
      <t>의 공표 베타</t>
    </r>
    <r>
      <rPr>
        <i/>
        <sz val="9"/>
        <color rgb="FF666666"/>
        <rFont val="Arial"/>
        <charset val="1"/>
      </rPr>
      <t xml:space="preserve">(TradingView). </t>
    </r>
    <r>
      <rPr>
        <i/>
        <sz val="9"/>
        <color rgb="FF666666"/>
        <rFont val="Noto Sans CJK SC"/>
        <family val="2"/>
      </rPr>
      <t>메모리는 베타가 높은 경기민감 업종입니다</t>
    </r>
    <r>
      <rPr>
        <i/>
        <sz val="9"/>
        <color rgb="FF666666"/>
        <rFont val="Arial"/>
        <charset val="1"/>
      </rPr>
      <t>.</t>
    </r>
  </si>
  <si>
    <r>
      <rPr>
        <i/>
        <sz val="9"/>
        <color rgb="FF666666"/>
        <rFont val="Arial"/>
        <charset val="1"/>
      </rPr>
      <t>SK hynix</t>
    </r>
    <r>
      <rPr>
        <i/>
        <sz val="9"/>
        <color rgb="FF666666"/>
        <rFont val="Noto Sans CJK SC"/>
        <family val="2"/>
      </rPr>
      <t>는 큰 폭의 순현금 상태이므로 이 값의 영향은 매우 작습니다</t>
    </r>
    <r>
      <rPr>
        <i/>
        <sz val="9"/>
        <color rgb="FF666666"/>
        <rFont val="Arial"/>
        <charset val="1"/>
      </rPr>
      <t>.</t>
    </r>
  </si>
  <si>
    <r>
      <rPr>
        <i/>
        <sz val="9"/>
        <color rgb="FF666666"/>
        <rFont val="Noto Sans CJK SC"/>
        <family val="2"/>
      </rPr>
      <t>지방소득세를 포함한 한국 법정 법인세율 근사치입니다</t>
    </r>
    <r>
      <rPr>
        <i/>
        <sz val="9"/>
        <color rgb="FF666666"/>
        <rFont val="Arial"/>
        <charset val="1"/>
      </rPr>
      <t>.</t>
    </r>
  </si>
  <si>
    <t xml:space="preserve">past 60 quarters   total assets,  cash, inventory, total debt, , totoal revenue, opearting income, net income, cash flows, from operations (CFO), cash flows from investing, capital expenditures, interest expense, effective tax rate, FCFF (free cash flows to firm), which is defined as *CFO + (Interest Expense x (1-tax rate) - capital expenditures for skynix </t>
  </si>
  <si>
    <r>
      <t>2026</t>
    </r>
    <r>
      <rPr>
        <i/>
        <sz val="9"/>
        <color rgb="FF666666"/>
        <rFont val="Noto Sans CJK SC"/>
        <family val="2"/>
      </rPr>
      <t xml:space="preserve">년 </t>
    </r>
    <r>
      <rPr>
        <i/>
        <sz val="9"/>
        <color rgb="FF666666"/>
        <rFont val="Arial"/>
        <charset val="1"/>
      </rPr>
      <t>8</t>
    </r>
    <r>
      <rPr>
        <i/>
        <sz val="9"/>
        <color rgb="FF666666"/>
        <rFont val="Noto Sans CJK SC"/>
        <family val="2"/>
      </rPr>
      <t xml:space="preserve">월 </t>
    </r>
    <r>
      <rPr>
        <i/>
        <sz val="9"/>
        <color rgb="FF666666"/>
        <rFont val="Arial"/>
        <charset val="1"/>
      </rPr>
      <t>5</t>
    </r>
    <r>
      <rPr>
        <i/>
        <sz val="9"/>
        <color rgb="FF666666"/>
        <rFont val="Noto Sans CJK SC"/>
        <family val="2"/>
      </rPr>
      <t>일 수집</t>
    </r>
    <r>
      <rPr>
        <i/>
        <sz val="9"/>
        <color rgb="FF666666"/>
        <rFont val="Arial"/>
        <charset val="1"/>
      </rPr>
      <t xml:space="preserve">. </t>
    </r>
  </si>
  <si>
    <r>
      <t xml:space="preserve">두 기업 모두 기업 단위 </t>
    </r>
    <r>
      <rPr>
        <sz val="10"/>
        <rFont val="Arial"/>
        <charset val="1"/>
      </rPr>
      <t>FCFF</t>
    </r>
    <r>
      <rPr>
        <sz val="10"/>
        <rFont val="Noto Sans CJK SC"/>
        <family val="2"/>
      </rPr>
      <t>에 대한 증권사 컨센서스는 공표되지 않습니다</t>
    </r>
    <r>
      <rPr>
        <sz val="10"/>
        <rFont val="Arial"/>
        <charset val="1"/>
      </rPr>
      <t xml:space="preserve">. </t>
    </r>
    <r>
      <rPr>
        <sz val="10"/>
        <rFont val="Noto Sans CJK SC"/>
        <family val="2"/>
      </rPr>
      <t>컨센서스는 매출액</t>
    </r>
    <r>
      <rPr>
        <sz val="10"/>
        <rFont val="Arial"/>
        <charset val="1"/>
      </rPr>
      <t xml:space="preserve">, </t>
    </r>
    <r>
      <rPr>
        <sz val="10"/>
        <rFont val="Noto Sans CJK SC"/>
        <family val="2"/>
      </rPr>
      <t>주당순이익</t>
    </r>
    <r>
      <rPr>
        <sz val="10"/>
        <rFont val="Arial"/>
        <charset val="1"/>
      </rPr>
      <t xml:space="preserve">, </t>
    </r>
  </si>
  <si>
    <r>
      <t>모형에서 가장 영향이 큰 변수입니다</t>
    </r>
    <r>
      <rPr>
        <i/>
        <sz val="9"/>
        <color rgb="FFC00000"/>
        <rFont val="Arial"/>
        <family val="2"/>
      </rPr>
      <t xml:space="preserve">. </t>
    </r>
  </si>
  <si>
    <t>영업이익</t>
  </si>
  <si>
    <t>Valuation Model - 분자</t>
  </si>
  <si>
    <r>
      <t>P= E</t>
    </r>
    <r>
      <rPr>
        <vertAlign val="subscript"/>
        <sz val="11"/>
        <color theme="1"/>
        <rFont val="Calibri"/>
        <family val="2"/>
      </rPr>
      <t>1</t>
    </r>
    <r>
      <rPr>
        <sz val="11"/>
        <color theme="1"/>
        <rFont val="Calibri"/>
        <family val="2"/>
        <charset val="1"/>
      </rPr>
      <t xml:space="preserve"> / (r-g)</t>
    </r>
  </si>
  <si>
    <t>SK hynix — DCF Model - Inputs replaced by Earnings</t>
  </si>
  <si>
    <t>SK hynix — P/E = 1/(r-g)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</si>
</sst>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
    <numFmt numFmtId="167" formatCode="0.0\x"/>
    <numFmt numFmtId="168" formatCode="#,##0.00;\(#,##0.00\);\-"/>
  </numFmts>
  <fonts count="20">
    <font>
      <sz val="11"/>
      <color theme="1"/>
      <name val="Calibri"/>
      <family val="2"/>
      <charset val="1"/>
    </font>
    <font>
      <b/>
      <sz val="14"/>
      <color rgb="FF1F4899"/>
      <name val="Arial"/>
      <charset val="1"/>
    </font>
    <font>
      <b/>
      <sz val="14"/>
      <color rgb="FF1F4899"/>
      <name val="Noto Sans CJK SC"/>
      <family val="2"/>
    </font>
    <font>
      <i/>
      <sz val="9"/>
      <color rgb="FF666666"/>
      <name val="Arial"/>
      <charset val="1"/>
    </font>
    <font>
      <i/>
      <sz val="9"/>
      <color rgb="FF666666"/>
      <name val="Noto Sans CJK SC"/>
      <family val="2"/>
    </font>
    <font>
      <b/>
      <sz val="11"/>
      <color rgb="FF1F4899"/>
      <name val="Noto Sans CJK SC"/>
      <family val="2"/>
    </font>
    <font>
      <b/>
      <sz val="10"/>
      <name val="Arial"/>
      <charset val="1"/>
    </font>
    <font>
      <sz val="10"/>
      <name val="Arial"/>
      <charset val="1"/>
    </font>
    <font>
      <sz val="10"/>
      <name val="Noto Sans CJK SC"/>
      <family val="2"/>
    </font>
    <font>
      <b/>
      <sz val="11"/>
      <color rgb="FF1F4899"/>
      <name val="Arial"/>
      <charset val="1"/>
    </font>
    <font>
      <b/>
      <sz val="10"/>
      <name val="Noto Sans CJK SC"/>
      <family val="2"/>
    </font>
    <font>
      <u/>
      <sz val="9"/>
      <color rgb="FF0563C1"/>
      <name val="Arial"/>
      <charset val="1"/>
    </font>
    <font>
      <b/>
      <sz val="10"/>
      <color rgb="FFFFFFFF"/>
      <name val="Noto Sans CJK SC"/>
      <family val="2"/>
    </font>
    <font>
      <b/>
      <sz val="10"/>
      <color rgb="FFFFFFFF"/>
      <name val="Arial"/>
      <charset val="1"/>
    </font>
    <font>
      <sz val="10"/>
      <color rgb="FF0000FF"/>
      <name val="Arial"/>
      <charset val="1"/>
    </font>
    <font>
      <sz val="10"/>
      <color rgb="FF008000"/>
      <name val="Arial"/>
      <charset val="1"/>
    </font>
    <font>
      <i/>
      <sz val="9"/>
      <color rgb="FFC00000"/>
      <name val="Noto Sans CJK SC"/>
      <family val="2"/>
    </font>
    <font>
      <i/>
      <sz val="9"/>
      <color rgb="FFC00000"/>
      <name val="Arial"/>
      <family val="2"/>
    </font>
    <font>
      <vertAlign val="subscript"/>
      <sz val="11"/>
      <color theme="1"/>
      <name val="Calibri"/>
      <family val="2"/>
    </font>
    <font>
      <b/>
      <sz val="14"/>
      <color rgb="FF1F4899"/>
      <name val="Arial"/>
      <family val="2"/>
    </font>
  </fonts>
  <fills count="6">
    <fill>
      <patternFill patternType="none"/>
    </fill>
    <fill>
      <patternFill patternType="gray125"/>
    </fill>
    <fill>
      <patternFill patternType="solid">
        <fgColor rgb="FFEAF0FB"/>
        <bgColor rgb="FFDCE3EE"/>
      </patternFill>
    </fill>
    <fill>
      <patternFill patternType="solid">
        <fgColor rgb="FF1F4899"/>
        <bgColor rgb="FF0563C1"/>
      </patternFill>
    </fill>
    <fill>
      <patternFill patternType="solid">
        <fgColor rgb="FFFFFF00"/>
        <bgColor rgb="FFFFFF00"/>
      </patternFill>
    </fill>
    <fill>
      <patternFill patternType="solid">
        <fgColor rgb="FFDCE3EE"/>
        <bgColor rgb="FFEAF0FB"/>
      </patternFill>
    </fill>
  </fills>
  <borders count="2">
    <border>
      <left/>
      <right/>
      <top/>
      <bottom/>
      <diagonal/>
    </border>
    <border>
      <left style="thin">
        <color rgb="FFB0B8C4"/>
      </left>
      <right style="thin">
        <color rgb="FFB0B8C4"/>
      </right>
      <top style="thin">
        <color rgb="FFB0B8C4"/>
      </top>
      <bottom style="thin">
        <color rgb="FFB0B8C4"/>
      </bottom>
      <diagonal/>
    </border>
  </borders>
  <cellStyleXfs count="1">
    <xf numFmtId="0" fontId="0" fillId="0" borderId="0"/>
  </cellStyleXfs>
  <cellXfs count="52">
    <xf numFmtId="0" fontId="0" fillId="0" borderId="0" xfId="0"/>
    <xf numFmtId="0" fontId="8" fillId="0" borderId="0" xfId="0" applyFont="1" applyAlignment="1">
      <alignment horizontal="left" vertical="top" wrapText="1"/>
    </xf>
    <xf numFmtId="0" fontId="1" fillId="0" borderId="0" xfId="0" applyFont="1"/>
    <xf numFmtId="0" fontId="3" fillId="0" borderId="0" xfId="0" applyFont="1"/>
    <xf numFmtId="0" fontId="5" fillId="2" borderId="0" xfId="0" applyFont="1" applyFill="1"/>
    <xf numFmtId="0" fontId="6" fillId="0" borderId="0" xfId="0" applyFont="1"/>
    <xf numFmtId="0" fontId="7" fillId="0" borderId="0" xfId="0" applyFont="1"/>
    <xf numFmtId="0" fontId="8" fillId="0" borderId="0" xfId="0" applyFont="1"/>
    <xf numFmtId="0" fontId="10" fillId="0" borderId="0" xfId="0" applyFont="1"/>
    <xf numFmtId="0" fontId="4" fillId="0" borderId="0" xfId="0" applyFont="1"/>
    <xf numFmtId="0" fontId="7" fillId="0" borderId="0" xfId="0" applyFont="1" applyAlignment="1">
      <alignment horizontal="left" vertical="top" wrapText="1"/>
    </xf>
    <xf numFmtId="0" fontId="9" fillId="2" borderId="0" xfId="0" applyFont="1" applyFill="1"/>
    <xf numFmtId="0" fontId="11" fillId="0" borderId="0" xfId="0" applyFont="1"/>
    <xf numFmtId="0" fontId="12" fillId="3" borderId="0" xfId="0" applyFont="1" applyFill="1"/>
    <xf numFmtId="0" fontId="13" fillId="3" borderId="0" xfId="0" applyFont="1" applyFill="1" applyAlignment="1">
      <alignment horizontal="center" vertical="center"/>
    </xf>
    <xf numFmtId="0" fontId="12" fillId="3" borderId="0" xfId="0" applyFont="1" applyFill="1" applyAlignment="1">
      <alignment horizontal="center" vertical="center"/>
    </xf>
    <xf numFmtId="164" fontId="14" fillId="0" borderId="0" xfId="0" applyNumberFormat="1" applyFont="1" applyAlignment="1">
      <alignment horizontal="right" vertical="center"/>
    </xf>
    <xf numFmtId="164" fontId="7" fillId="0" borderId="0" xfId="0" applyNumberFormat="1" applyFont="1" applyAlignment="1">
      <alignment horizontal="right" vertical="center"/>
    </xf>
    <xf numFmtId="165" fontId="14" fillId="0" borderId="0" xfId="0" applyNumberFormat="1" applyFont="1" applyAlignment="1">
      <alignment horizontal="right" vertical="center"/>
    </xf>
    <xf numFmtId="166" fontId="7" fillId="0" borderId="0" xfId="0" applyNumberFormat="1" applyFont="1"/>
    <xf numFmtId="166" fontId="7" fillId="0" borderId="0" xfId="0" applyNumberFormat="1" applyFont="1" applyAlignment="1">
      <alignment horizontal="right" vertical="center"/>
    </xf>
    <xf numFmtId="167" fontId="7" fillId="0" borderId="0" xfId="0" applyNumberFormat="1" applyFont="1" applyAlignment="1">
      <alignment horizontal="right" vertical="center"/>
    </xf>
    <xf numFmtId="0" fontId="10" fillId="4" borderId="0" xfId="0" applyFont="1" applyFill="1"/>
    <xf numFmtId="166" fontId="14" fillId="4" borderId="0" xfId="0" applyNumberFormat="1" applyFont="1" applyFill="1" applyAlignment="1">
      <alignment horizontal="right" vertical="center"/>
    </xf>
    <xf numFmtId="0" fontId="3" fillId="0" borderId="0" xfId="0" applyFont="1" applyAlignment="1">
      <alignment horizontal="center" vertical="center"/>
    </xf>
    <xf numFmtId="0" fontId="2" fillId="0" borderId="0" xfId="0" applyFont="1"/>
    <xf numFmtId="0" fontId="9" fillId="0" borderId="0" xfId="0" applyFont="1"/>
    <xf numFmtId="0" fontId="12" fillId="3" borderId="0" xfId="0" applyFont="1" applyFill="1" applyAlignment="1">
      <alignment horizontal="left" vertical="center"/>
    </xf>
    <xf numFmtId="0" fontId="8" fillId="0" borderId="0" xfId="0" applyFont="1" applyAlignment="1">
      <alignment horizontal="center" vertical="center"/>
    </xf>
    <xf numFmtId="168" fontId="14" fillId="0" borderId="0" xfId="0" applyNumberFormat="1" applyFont="1" applyAlignment="1">
      <alignment horizontal="right" vertical="center"/>
    </xf>
    <xf numFmtId="168" fontId="14" fillId="4" borderId="0" xfId="0" applyNumberFormat="1" applyFont="1" applyFill="1" applyAlignment="1">
      <alignment horizontal="right" vertical="center"/>
    </xf>
    <xf numFmtId="166" fontId="14" fillId="0" borderId="0" xfId="0" applyNumberFormat="1" applyFont="1" applyAlignment="1">
      <alignment horizontal="right" vertical="center"/>
    </xf>
    <xf numFmtId="0" fontId="10" fillId="5" borderId="0" xfId="0" applyFont="1" applyFill="1"/>
    <xf numFmtId="166" fontId="7" fillId="5" borderId="0" xfId="0" applyNumberFormat="1" applyFont="1" applyFill="1" applyAlignment="1">
      <alignment horizontal="right" vertical="center"/>
    </xf>
    <xf numFmtId="0" fontId="8" fillId="4" borderId="0" xfId="0" applyFont="1" applyFill="1"/>
    <xf numFmtId="164" fontId="15" fillId="0" borderId="0" xfId="0" applyNumberFormat="1" applyFont="1" applyAlignment="1">
      <alignment horizontal="right" vertical="center"/>
    </xf>
    <xf numFmtId="166" fontId="15" fillId="0" borderId="0" xfId="0" applyNumberFormat="1" applyFont="1" applyAlignment="1">
      <alignment horizontal="right" vertical="center"/>
    </xf>
    <xf numFmtId="164" fontId="7" fillId="0" borderId="0" xfId="0" applyNumberFormat="1" applyFont="1"/>
    <xf numFmtId="164" fontId="15" fillId="5" borderId="0" xfId="0" applyNumberFormat="1" applyFont="1" applyFill="1" applyAlignment="1">
      <alignment horizontal="right" vertical="center"/>
    </xf>
    <xf numFmtId="164" fontId="7" fillId="5" borderId="0" xfId="0" applyNumberFormat="1" applyFont="1" applyFill="1" applyAlignment="1">
      <alignment horizontal="right" vertical="center"/>
    </xf>
    <xf numFmtId="168" fontId="7" fillId="0" borderId="0" xfId="0" applyNumberFormat="1" applyFont="1" applyAlignment="1">
      <alignment horizontal="right" vertical="center"/>
    </xf>
    <xf numFmtId="165" fontId="7" fillId="0" borderId="0" xfId="0" applyNumberFormat="1" applyFont="1" applyAlignment="1">
      <alignment horizontal="right" vertical="center"/>
    </xf>
    <xf numFmtId="0" fontId="6" fillId="0" borderId="0" xfId="0" applyFont="1" applyAlignment="1">
      <alignment horizontal="center" vertical="center"/>
    </xf>
    <xf numFmtId="166" fontId="14" fillId="5" borderId="0" xfId="0" applyNumberFormat="1" applyFont="1" applyFill="1" applyAlignment="1">
      <alignment horizontal="center" vertical="center"/>
    </xf>
    <xf numFmtId="3" fontId="14" fillId="0" borderId="0" xfId="0" applyNumberFormat="1" applyFont="1" applyAlignment="1">
      <alignment horizontal="right" vertical="center"/>
    </xf>
    <xf numFmtId="3" fontId="7" fillId="5" borderId="0" xfId="0" applyNumberFormat="1" applyFont="1" applyFill="1" applyAlignment="1">
      <alignment horizontal="right" vertical="center"/>
    </xf>
    <xf numFmtId="3" fontId="7" fillId="0" borderId="0" xfId="0" applyNumberFormat="1" applyFont="1" applyAlignment="1">
      <alignment horizontal="right" vertical="center"/>
    </xf>
    <xf numFmtId="3" fontId="7" fillId="0" borderId="1" xfId="0" applyNumberFormat="1" applyFont="1" applyBorder="1" applyAlignment="1">
      <alignment horizontal="right" vertical="center"/>
    </xf>
    <xf numFmtId="0" fontId="12" fillId="3" borderId="0" xfId="0" applyFont="1" applyFill="1" applyAlignment="1">
      <alignment horizontal="center" vertical="center" wrapText="1"/>
    </xf>
    <xf numFmtId="0" fontId="16" fillId="0" borderId="0" xfId="0" applyFont="1"/>
    <xf numFmtId="0" fontId="19" fillId="0" borderId="0" xfId="0" applyFont="1"/>
    <xf numFmtId="0" fontId="8"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8C4"/>
      <rgbColor rgb="FF808080"/>
      <rgbColor rgb="FF9999FF"/>
      <rgbColor rgb="FF993366"/>
      <rgbColor rgb="FFFFFFCC"/>
      <rgbColor rgb="FFEAF0FB"/>
      <rgbColor rgb="FF660066"/>
      <rgbColor rgb="FFFF8080"/>
      <rgbColor rgb="FF0563C1"/>
      <rgbColor rgb="FFDCE3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8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ec.gov/Archives/edgar/data/2120882/000119312526299963/d32785d424b4.htm" TargetMode="External"/><Relationship Id="rId2" Type="http://schemas.openxmlformats.org/officeDocument/2006/relationships/hyperlink" Target="https://www.sec.gov/Archives/edgar/data/1045810/000104581026000051/q1fy27pr.htm" TargetMode="External"/><Relationship Id="rId1" Type="http://schemas.openxmlformats.org/officeDocument/2006/relationships/hyperlink" Target="https://www.sec.gov/Archives/edgar/data/1045810/000104581026000019/q4fy26pr.htm" TargetMode="External"/><Relationship Id="rId6" Type="http://schemas.openxmlformats.org/officeDocument/2006/relationships/hyperlink" Target="https://finbox.com/KOSE:A000660/explorer/capex/" TargetMode="External"/><Relationship Id="rId5" Type="http://schemas.openxmlformats.org/officeDocument/2006/relationships/hyperlink" Target="https://news.skhynix.com/en/q2-2026-business-results/" TargetMode="External"/><Relationship Id="rId4" Type="http://schemas.openxmlformats.org/officeDocument/2006/relationships/hyperlink" Target="https://news.skhynix.com/en/sk-hynix-announces-fy25-financial-resul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showGridLines="0" zoomScaleNormal="100" workbookViewId="0"/>
  </sheetViews>
  <sheetFormatPr defaultColWidth="8.6328125" defaultRowHeight="14.5"/>
  <cols>
    <col min="1" max="1" width="46" customWidth="1"/>
    <col min="2" max="2" width="88" customWidth="1"/>
  </cols>
  <sheetData>
    <row r="1" spans="1:2" ht="18">
      <c r="A1" s="2" t="s">
        <v>0</v>
      </c>
    </row>
    <row r="2" spans="1:2">
      <c r="A2" s="3" t="s">
        <v>1</v>
      </c>
    </row>
    <row r="4" spans="1:2">
      <c r="A4" s="4" t="s">
        <v>2</v>
      </c>
      <c r="B4" s="4"/>
    </row>
    <row r="5" spans="1:2">
      <c r="A5" s="5" t="s">
        <v>3</v>
      </c>
      <c r="B5" s="6" t="s">
        <v>4</v>
      </c>
    </row>
    <row r="6" spans="1:2">
      <c r="A6" s="5" t="s">
        <v>5</v>
      </c>
      <c r="B6" s="6" t="s">
        <v>6</v>
      </c>
    </row>
    <row r="7" spans="1:2">
      <c r="A7" s="5" t="s">
        <v>7</v>
      </c>
      <c r="B7" s="7" t="s">
        <v>8</v>
      </c>
    </row>
    <row r="8" spans="1:2">
      <c r="A8" s="5" t="s">
        <v>9</v>
      </c>
      <c r="B8" s="7" t="s">
        <v>10</v>
      </c>
    </row>
    <row r="9" spans="1:2">
      <c r="A9" s="5" t="s">
        <v>11</v>
      </c>
      <c r="B9" s="6" t="s">
        <v>12</v>
      </c>
    </row>
    <row r="10" spans="1:2">
      <c r="A10" s="5" t="s">
        <v>13</v>
      </c>
      <c r="B10" s="6" t="s">
        <v>14</v>
      </c>
    </row>
    <row r="12" spans="1:2">
      <c r="A12" s="4" t="s">
        <v>15</v>
      </c>
      <c r="B12" s="4"/>
    </row>
    <row r="13" spans="1:2">
      <c r="A13" s="8" t="s">
        <v>16</v>
      </c>
      <c r="B13" s="7" t="s">
        <v>17</v>
      </c>
    </row>
    <row r="14" spans="1:2">
      <c r="A14" s="8" t="s">
        <v>18</v>
      </c>
      <c r="B14" s="7" t="s">
        <v>19</v>
      </c>
    </row>
    <row r="15" spans="1:2">
      <c r="A15" s="8" t="s">
        <v>20</v>
      </c>
      <c r="B15" s="7" t="s">
        <v>21</v>
      </c>
    </row>
    <row r="16" spans="1:2">
      <c r="A16" s="8" t="s">
        <v>22</v>
      </c>
      <c r="B16" s="7" t="s">
        <v>23</v>
      </c>
    </row>
    <row r="18" spans="1:2">
      <c r="A18" s="4" t="s">
        <v>24</v>
      </c>
      <c r="B18" s="4"/>
    </row>
    <row r="19" spans="1:2">
      <c r="A19" s="5" t="s">
        <v>25</v>
      </c>
      <c r="B19" s="6" t="s">
        <v>26</v>
      </c>
    </row>
    <row r="20" spans="1:2">
      <c r="A20" s="5" t="s">
        <v>27</v>
      </c>
      <c r="B20" s="7" t="s">
        <v>28</v>
      </c>
    </row>
    <row r="21" spans="1:2">
      <c r="A21" s="5" t="s">
        <v>29</v>
      </c>
      <c r="B21" s="7" t="s">
        <v>30</v>
      </c>
    </row>
    <row r="22" spans="1:2">
      <c r="B22" s="9" t="s">
        <v>31</v>
      </c>
    </row>
    <row r="24" spans="1:2">
      <c r="A24" s="4" t="s">
        <v>32</v>
      </c>
      <c r="B24" s="4"/>
    </row>
    <row r="25" spans="1:2" ht="42" customHeight="1">
      <c r="A25" s="8" t="s">
        <v>33</v>
      </c>
      <c r="B25" s="10" t="s">
        <v>34</v>
      </c>
    </row>
    <row r="26" spans="1:2" ht="42" customHeight="1">
      <c r="A26" s="8" t="s">
        <v>35</v>
      </c>
      <c r="B26" s="1" t="s">
        <v>36</v>
      </c>
    </row>
    <row r="27" spans="1:2" ht="42" customHeight="1">
      <c r="A27" s="8" t="s">
        <v>37</v>
      </c>
      <c r="B27" s="10" t="s">
        <v>38</v>
      </c>
    </row>
    <row r="29" spans="1:2">
      <c r="A29" s="11" t="s">
        <v>39</v>
      </c>
      <c r="B29" s="4"/>
    </row>
    <row r="30" spans="1:2">
      <c r="A30" s="6" t="s">
        <v>40</v>
      </c>
      <c r="B30" s="12" t="s">
        <v>41</v>
      </c>
    </row>
    <row r="31" spans="1:2">
      <c r="A31" s="6" t="s">
        <v>42</v>
      </c>
      <c r="B31" s="12" t="s">
        <v>43</v>
      </c>
    </row>
    <row r="32" spans="1:2">
      <c r="A32" s="6" t="s">
        <v>44</v>
      </c>
      <c r="B32" s="12" t="s">
        <v>45</v>
      </c>
    </row>
    <row r="33" spans="1:2">
      <c r="A33" s="6" t="s">
        <v>46</v>
      </c>
      <c r="B33" s="12" t="s">
        <v>47</v>
      </c>
    </row>
    <row r="34" spans="1:2">
      <c r="A34" s="6" t="s">
        <v>48</v>
      </c>
      <c r="B34" s="12" t="s">
        <v>49</v>
      </c>
    </row>
    <row r="35" spans="1:2">
      <c r="A35" s="6" t="s">
        <v>50</v>
      </c>
      <c r="B35" s="12" t="s">
        <v>51</v>
      </c>
    </row>
  </sheetData>
  <hyperlinks>
    <hyperlink ref="B30" r:id="rId1" xr:uid="{00000000-0004-0000-0000-000000000000}"/>
    <hyperlink ref="B31" r:id="rId2" xr:uid="{00000000-0004-0000-0000-000001000000}"/>
    <hyperlink ref="B32" r:id="rId3" xr:uid="{00000000-0004-0000-0000-000002000000}"/>
    <hyperlink ref="B33" r:id="rId4" xr:uid="{00000000-0004-0000-0000-000003000000}"/>
    <hyperlink ref="B34" r:id="rId5" xr:uid="{00000000-0004-0000-0000-000004000000}"/>
    <hyperlink ref="B35" r:id="rId6" xr:uid="{00000000-0004-0000-0000-000005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8"/>
  <sheetViews>
    <sheetView showGridLines="0" zoomScaleNormal="100" workbookViewId="0">
      <pane xSplit="1" ySplit="4" topLeftCell="B5" activePane="bottomRight" state="frozen"/>
      <selection pane="topRight" activeCell="B1" sqref="B1"/>
      <selection pane="bottomLeft" activeCell="A5" sqref="A5"/>
      <selection pane="bottomRight" activeCell="K9" sqref="K9"/>
    </sheetView>
  </sheetViews>
  <sheetFormatPr defaultColWidth="8.6328125" defaultRowHeight="14.5"/>
  <cols>
    <col min="1" max="1" width="52" customWidth="1"/>
    <col min="2" max="11" width="12" customWidth="1"/>
    <col min="12" max="12" width="6" customWidth="1"/>
    <col min="13" max="13" width="52" customWidth="1"/>
  </cols>
  <sheetData>
    <row r="1" spans="1:13" ht="18">
      <c r="A1" s="2" t="s">
        <v>52</v>
      </c>
    </row>
    <row r="2" spans="1:13">
      <c r="A2" s="9" t="s">
        <v>53</v>
      </c>
    </row>
    <row r="4" spans="1:13">
      <c r="A4" s="13" t="s">
        <v>54</v>
      </c>
      <c r="B4" s="14" t="s">
        <v>55</v>
      </c>
      <c r="C4" s="14" t="s">
        <v>56</v>
      </c>
      <c r="D4" s="14" t="s">
        <v>57</v>
      </c>
      <c r="E4" s="14" t="s">
        <v>58</v>
      </c>
      <c r="F4" s="14" t="s">
        <v>59</v>
      </c>
      <c r="G4" s="14" t="s">
        <v>60</v>
      </c>
      <c r="H4" s="14" t="s">
        <v>61</v>
      </c>
      <c r="I4" s="14" t="s">
        <v>62</v>
      </c>
      <c r="J4" s="14" t="s">
        <v>63</v>
      </c>
      <c r="K4" s="14" t="s">
        <v>64</v>
      </c>
      <c r="L4" s="15" t="s">
        <v>65</v>
      </c>
      <c r="M4" s="13" t="s">
        <v>66</v>
      </c>
    </row>
    <row r="5" spans="1:13">
      <c r="A5" s="4" t="s">
        <v>67</v>
      </c>
      <c r="B5" s="4"/>
      <c r="C5" s="4"/>
      <c r="D5" s="4"/>
      <c r="E5" s="4"/>
      <c r="F5" s="4"/>
      <c r="G5" s="4"/>
      <c r="H5" s="4"/>
      <c r="I5" s="4"/>
      <c r="J5" s="4"/>
      <c r="K5" s="4"/>
      <c r="L5" s="4"/>
      <c r="M5" s="4"/>
    </row>
    <row r="6" spans="1:13">
      <c r="A6" s="8" t="s">
        <v>68</v>
      </c>
      <c r="B6" s="16">
        <v>6910</v>
      </c>
      <c r="C6" s="16">
        <v>9714</v>
      </c>
      <c r="D6" s="16">
        <v>11716</v>
      </c>
      <c r="E6" s="16">
        <v>10918</v>
      </c>
      <c r="F6" s="16">
        <v>16675</v>
      </c>
      <c r="G6" s="16">
        <v>26914</v>
      </c>
      <c r="H6" s="16">
        <v>26974</v>
      </c>
      <c r="I6" s="16">
        <v>60922</v>
      </c>
      <c r="J6" s="16">
        <v>130497</v>
      </c>
      <c r="K6" s="16">
        <v>215938</v>
      </c>
    </row>
    <row r="7" spans="1:13">
      <c r="A7" s="7" t="s">
        <v>69</v>
      </c>
      <c r="B7" s="16">
        <v>4063</v>
      </c>
      <c r="C7" s="16">
        <v>5822</v>
      </c>
      <c r="D7" s="16">
        <v>7171</v>
      </c>
      <c r="E7" s="16">
        <v>6768</v>
      </c>
      <c r="F7" s="16">
        <v>10396</v>
      </c>
      <c r="G7" s="16">
        <v>17475</v>
      </c>
      <c r="H7" s="16">
        <v>15356</v>
      </c>
      <c r="I7" s="16">
        <v>44301</v>
      </c>
      <c r="J7" s="16">
        <v>97858</v>
      </c>
      <c r="K7" s="16">
        <v>153463</v>
      </c>
    </row>
    <row r="8" spans="1:13">
      <c r="A8" s="7" t="s">
        <v>70</v>
      </c>
      <c r="B8" s="16">
        <v>2129</v>
      </c>
      <c r="C8" s="16">
        <v>2612</v>
      </c>
      <c r="D8" s="16">
        <v>3367</v>
      </c>
      <c r="E8" s="16">
        <v>3922</v>
      </c>
      <c r="F8" s="16">
        <v>5864</v>
      </c>
      <c r="G8" s="16">
        <v>7434</v>
      </c>
      <c r="H8" s="16">
        <v>11132</v>
      </c>
      <c r="I8" s="16">
        <v>11329</v>
      </c>
      <c r="J8" s="16">
        <v>16405</v>
      </c>
      <c r="K8" s="16">
        <v>23076</v>
      </c>
    </row>
    <row r="9" spans="1:13">
      <c r="A9" s="8" t="s">
        <v>71</v>
      </c>
      <c r="B9" s="16">
        <v>1934</v>
      </c>
      <c r="C9" s="16">
        <v>3210</v>
      </c>
      <c r="D9" s="16">
        <v>3804</v>
      </c>
      <c r="E9" s="16">
        <v>2846</v>
      </c>
      <c r="F9" s="16">
        <v>4532</v>
      </c>
      <c r="G9" s="16">
        <v>10041</v>
      </c>
      <c r="H9" s="16">
        <v>4224</v>
      </c>
      <c r="I9" s="16">
        <v>32972</v>
      </c>
      <c r="J9" s="16">
        <v>81453</v>
      </c>
      <c r="K9" s="16">
        <v>130387</v>
      </c>
    </row>
    <row r="10" spans="1:13">
      <c r="A10" s="7" t="s">
        <v>72</v>
      </c>
      <c r="B10" s="16">
        <v>58</v>
      </c>
      <c r="C10" s="16">
        <v>61</v>
      </c>
      <c r="D10" s="16">
        <v>58</v>
      </c>
      <c r="E10" s="16">
        <v>52</v>
      </c>
      <c r="F10" s="16">
        <v>184</v>
      </c>
      <c r="G10" s="16">
        <v>236</v>
      </c>
      <c r="H10" s="16">
        <v>262</v>
      </c>
      <c r="I10" s="16">
        <v>257</v>
      </c>
      <c r="J10" s="16">
        <v>247</v>
      </c>
      <c r="K10" s="16">
        <v>259</v>
      </c>
      <c r="M10" s="3" t="s">
        <v>73</v>
      </c>
    </row>
    <row r="11" spans="1:13">
      <c r="A11" s="7" t="s">
        <v>74</v>
      </c>
      <c r="B11" s="16">
        <v>1905</v>
      </c>
      <c r="C11" s="16">
        <v>3195</v>
      </c>
      <c r="D11" s="16">
        <v>3896</v>
      </c>
      <c r="E11" s="16">
        <v>2970</v>
      </c>
      <c r="F11" s="16">
        <v>4409</v>
      </c>
      <c r="G11" s="16">
        <v>11259</v>
      </c>
      <c r="H11" s="16">
        <v>4181</v>
      </c>
      <c r="I11" s="16">
        <v>33818</v>
      </c>
      <c r="J11" s="16">
        <v>84026</v>
      </c>
      <c r="K11" s="16">
        <v>141450</v>
      </c>
    </row>
    <row r="12" spans="1:13">
      <c r="A12" s="7" t="s">
        <v>75</v>
      </c>
      <c r="B12" s="16">
        <v>239</v>
      </c>
      <c r="C12" s="16">
        <v>149</v>
      </c>
      <c r="D12" s="16">
        <v>-245</v>
      </c>
      <c r="E12" s="16">
        <v>174</v>
      </c>
      <c r="F12" s="16">
        <v>77</v>
      </c>
      <c r="G12" s="16">
        <v>1507</v>
      </c>
      <c r="H12" s="16">
        <v>-187</v>
      </c>
      <c r="I12" s="16">
        <v>4058</v>
      </c>
      <c r="J12" s="16">
        <v>11146</v>
      </c>
      <c r="K12" s="16">
        <v>21383</v>
      </c>
    </row>
    <row r="13" spans="1:13">
      <c r="A13" s="8" t="s">
        <v>76</v>
      </c>
      <c r="B13" s="16">
        <v>1666</v>
      </c>
      <c r="C13" s="16">
        <v>3047</v>
      </c>
      <c r="D13" s="16">
        <v>4141</v>
      </c>
      <c r="E13" s="16">
        <v>2796</v>
      </c>
      <c r="F13" s="16">
        <v>4332</v>
      </c>
      <c r="G13" s="16">
        <v>9752</v>
      </c>
      <c r="H13" s="16">
        <v>4368</v>
      </c>
      <c r="I13" s="16">
        <v>29760</v>
      </c>
      <c r="J13" s="16">
        <v>72880</v>
      </c>
      <c r="K13" s="16">
        <v>120067</v>
      </c>
    </row>
    <row r="15" spans="1:13">
      <c r="A15" s="4" t="s">
        <v>77</v>
      </c>
      <c r="B15" s="4"/>
      <c r="C15" s="4"/>
      <c r="D15" s="4"/>
      <c r="E15" s="4"/>
      <c r="F15" s="4"/>
      <c r="G15" s="4"/>
      <c r="H15" s="4"/>
      <c r="I15" s="4"/>
      <c r="J15" s="4"/>
      <c r="K15" s="4"/>
      <c r="L15" s="4"/>
      <c r="M15" s="4"/>
    </row>
    <row r="16" spans="1:13">
      <c r="A16" s="8" t="s">
        <v>78</v>
      </c>
      <c r="B16" s="16">
        <v>1672</v>
      </c>
      <c r="C16" s="16">
        <v>3502</v>
      </c>
      <c r="D16" s="16">
        <v>3743</v>
      </c>
      <c r="E16" s="16">
        <v>4761</v>
      </c>
      <c r="F16" s="16">
        <v>5822</v>
      </c>
      <c r="G16" s="16">
        <v>9108</v>
      </c>
      <c r="H16" s="16">
        <v>5641</v>
      </c>
      <c r="I16" s="16">
        <v>28090</v>
      </c>
      <c r="J16" s="16">
        <v>64089</v>
      </c>
      <c r="K16" s="16">
        <v>102718</v>
      </c>
    </row>
    <row r="17" spans="1:13">
      <c r="A17" s="7" t="s">
        <v>79</v>
      </c>
      <c r="B17" s="16">
        <v>176</v>
      </c>
      <c r="C17" s="16">
        <v>593</v>
      </c>
      <c r="D17" s="16">
        <v>600</v>
      </c>
      <c r="E17" s="16">
        <v>489</v>
      </c>
      <c r="F17" s="16">
        <v>1128</v>
      </c>
      <c r="G17" s="16">
        <v>976</v>
      </c>
      <c r="H17" s="16">
        <v>1833</v>
      </c>
      <c r="I17" s="16">
        <v>1069</v>
      </c>
      <c r="J17" s="16">
        <v>3236</v>
      </c>
      <c r="K17" s="16">
        <v>6042</v>
      </c>
      <c r="M17" s="9" t="s">
        <v>80</v>
      </c>
    </row>
    <row r="18" spans="1:13">
      <c r="A18" s="7" t="s">
        <v>81</v>
      </c>
      <c r="B18" s="16">
        <v>187</v>
      </c>
      <c r="C18" s="16">
        <v>199</v>
      </c>
      <c r="D18" s="16">
        <v>262</v>
      </c>
      <c r="E18" s="16">
        <v>381</v>
      </c>
      <c r="F18" s="16">
        <v>1098</v>
      </c>
      <c r="G18" s="16">
        <v>1174</v>
      </c>
      <c r="H18" s="16">
        <v>1544</v>
      </c>
      <c r="I18" s="16">
        <v>1508</v>
      </c>
      <c r="J18" s="16">
        <v>1864</v>
      </c>
      <c r="K18" s="16">
        <v>2843</v>
      </c>
    </row>
    <row r="19" spans="1:13">
      <c r="A19" s="7" t="s">
        <v>82</v>
      </c>
      <c r="B19" s="16">
        <v>557</v>
      </c>
      <c r="C19" s="16">
        <v>391</v>
      </c>
      <c r="D19" s="16">
        <v>557</v>
      </c>
      <c r="E19" s="16">
        <v>844</v>
      </c>
      <c r="F19" s="16">
        <v>1397</v>
      </c>
      <c r="G19" s="16">
        <v>2004</v>
      </c>
      <c r="H19" s="16">
        <v>2709</v>
      </c>
      <c r="I19" s="16">
        <v>3549</v>
      </c>
      <c r="J19" s="16">
        <v>4737</v>
      </c>
      <c r="K19" s="16">
        <v>6386</v>
      </c>
      <c r="M19" s="9" t="s">
        <v>83</v>
      </c>
    </row>
    <row r="21" spans="1:13">
      <c r="A21" s="4" t="s">
        <v>84</v>
      </c>
      <c r="B21" s="4"/>
      <c r="C21" s="4"/>
      <c r="D21" s="4"/>
      <c r="E21" s="4"/>
      <c r="F21" s="4"/>
      <c r="G21" s="4"/>
      <c r="H21" s="4"/>
      <c r="I21" s="4"/>
      <c r="J21" s="4"/>
      <c r="K21" s="4"/>
      <c r="L21" s="4"/>
      <c r="M21" s="4"/>
    </row>
    <row r="22" spans="1:13">
      <c r="A22" s="7" t="s">
        <v>85</v>
      </c>
      <c r="B22" s="16">
        <v>9841</v>
      </c>
      <c r="C22" s="16">
        <v>11241</v>
      </c>
      <c r="D22" s="16">
        <v>13292</v>
      </c>
      <c r="E22" s="16">
        <v>17315</v>
      </c>
      <c r="F22" s="16">
        <v>28791</v>
      </c>
      <c r="G22" s="16">
        <v>44187</v>
      </c>
      <c r="H22" s="16">
        <v>41182</v>
      </c>
      <c r="I22" s="16">
        <v>65728</v>
      </c>
      <c r="J22" s="16">
        <v>111601</v>
      </c>
      <c r="K22" s="16">
        <v>206803</v>
      </c>
    </row>
    <row r="23" spans="1:13">
      <c r="A23" s="7" t="s">
        <v>86</v>
      </c>
      <c r="B23" s="16">
        <v>6798</v>
      </c>
      <c r="C23" s="16">
        <v>7108</v>
      </c>
      <c r="D23" s="16">
        <v>7422</v>
      </c>
      <c r="E23" s="16">
        <v>10896</v>
      </c>
      <c r="F23" s="16">
        <v>11561</v>
      </c>
      <c r="G23" s="16">
        <v>21208</v>
      </c>
      <c r="H23" s="16">
        <v>13296</v>
      </c>
      <c r="I23" s="16">
        <v>25984</v>
      </c>
      <c r="J23" s="16">
        <v>43210</v>
      </c>
      <c r="K23" s="16">
        <v>62556</v>
      </c>
    </row>
    <row r="24" spans="1:13">
      <c r="A24" s="7" t="s">
        <v>87</v>
      </c>
      <c r="B24" s="16">
        <v>15</v>
      </c>
      <c r="C24" s="16">
        <v>0</v>
      </c>
      <c r="D24" s="16">
        <v>0</v>
      </c>
      <c r="E24" s="16">
        <v>0</v>
      </c>
      <c r="F24" s="16">
        <v>999</v>
      </c>
      <c r="G24" s="16">
        <v>0</v>
      </c>
      <c r="H24" s="16">
        <v>1250</v>
      </c>
      <c r="I24" s="16">
        <v>1250</v>
      </c>
      <c r="J24" s="16">
        <v>0</v>
      </c>
      <c r="K24" s="16">
        <v>999</v>
      </c>
    </row>
    <row r="25" spans="1:13">
      <c r="A25" s="7" t="s">
        <v>88</v>
      </c>
      <c r="B25" s="16">
        <v>1985</v>
      </c>
      <c r="C25" s="16">
        <v>1985</v>
      </c>
      <c r="D25" s="16">
        <v>1988</v>
      </c>
      <c r="E25" s="16">
        <v>1991</v>
      </c>
      <c r="F25" s="16">
        <v>5964</v>
      </c>
      <c r="G25" s="16">
        <v>10946</v>
      </c>
      <c r="H25" s="16">
        <v>9703</v>
      </c>
      <c r="I25" s="16">
        <v>8459</v>
      </c>
      <c r="J25" s="16">
        <v>8463</v>
      </c>
      <c r="K25" s="16">
        <v>7469</v>
      </c>
    </row>
    <row r="26" spans="1:13">
      <c r="A26" s="8" t="s">
        <v>89</v>
      </c>
      <c r="B26" s="17">
        <f t="shared" ref="B26:K26" si="0">B24+B25</f>
        <v>2000</v>
      </c>
      <c r="C26" s="17">
        <f t="shared" si="0"/>
        <v>1985</v>
      </c>
      <c r="D26" s="17">
        <f t="shared" si="0"/>
        <v>1988</v>
      </c>
      <c r="E26" s="17">
        <f t="shared" si="0"/>
        <v>1991</v>
      </c>
      <c r="F26" s="17">
        <f t="shared" si="0"/>
        <v>6963</v>
      </c>
      <c r="G26" s="17">
        <f t="shared" si="0"/>
        <v>10946</v>
      </c>
      <c r="H26" s="17">
        <f t="shared" si="0"/>
        <v>10953</v>
      </c>
      <c r="I26" s="17">
        <f t="shared" si="0"/>
        <v>9709</v>
      </c>
      <c r="J26" s="17">
        <f t="shared" si="0"/>
        <v>8463</v>
      </c>
      <c r="K26" s="17">
        <f t="shared" si="0"/>
        <v>8468</v>
      </c>
    </row>
    <row r="27" spans="1:13">
      <c r="A27" s="7" t="s">
        <v>90</v>
      </c>
      <c r="B27" s="17">
        <f t="shared" ref="B27:K27" si="1">B26-B23</f>
        <v>-4798</v>
      </c>
      <c r="C27" s="17">
        <f t="shared" si="1"/>
        <v>-5123</v>
      </c>
      <c r="D27" s="17">
        <f t="shared" si="1"/>
        <v>-5434</v>
      </c>
      <c r="E27" s="17">
        <f t="shared" si="1"/>
        <v>-8905</v>
      </c>
      <c r="F27" s="17">
        <f t="shared" si="1"/>
        <v>-4598</v>
      </c>
      <c r="G27" s="17">
        <f t="shared" si="1"/>
        <v>-10262</v>
      </c>
      <c r="H27" s="17">
        <f t="shared" si="1"/>
        <v>-2343</v>
      </c>
      <c r="I27" s="17">
        <f t="shared" si="1"/>
        <v>-16275</v>
      </c>
      <c r="J27" s="17">
        <f t="shared" si="1"/>
        <v>-34747</v>
      </c>
      <c r="K27" s="17">
        <f t="shared" si="1"/>
        <v>-54088</v>
      </c>
    </row>
    <row r="28" spans="1:13">
      <c r="A28" s="8" t="s">
        <v>91</v>
      </c>
      <c r="B28" s="16">
        <v>5762</v>
      </c>
      <c r="C28" s="16">
        <v>7471</v>
      </c>
      <c r="D28" s="16">
        <v>9342</v>
      </c>
      <c r="E28" s="16">
        <v>12204</v>
      </c>
      <c r="F28" s="16">
        <v>16893</v>
      </c>
      <c r="G28" s="16">
        <v>26612</v>
      </c>
      <c r="H28" s="16">
        <v>22101</v>
      </c>
      <c r="I28" s="16">
        <v>42978</v>
      </c>
      <c r="J28" s="16">
        <v>79327</v>
      </c>
      <c r="K28" s="16">
        <v>157293</v>
      </c>
    </row>
    <row r="29" spans="1:13">
      <c r="A29" s="7" t="s">
        <v>92</v>
      </c>
      <c r="B29" s="18">
        <v>1000</v>
      </c>
      <c r="C29" s="18">
        <v>649</v>
      </c>
      <c r="D29" s="18">
        <v>625</v>
      </c>
      <c r="E29" s="18">
        <v>616</v>
      </c>
      <c r="F29" s="18">
        <v>628</v>
      </c>
      <c r="G29" s="18">
        <v>636</v>
      </c>
      <c r="H29" s="18">
        <v>618</v>
      </c>
      <c r="I29" s="18">
        <v>24690</v>
      </c>
      <c r="J29" s="18">
        <v>24804</v>
      </c>
      <c r="K29" s="18">
        <v>24514</v>
      </c>
    </row>
    <row r="31" spans="1:13">
      <c r="A31" s="4" t="s">
        <v>93</v>
      </c>
      <c r="B31" s="4"/>
      <c r="C31" s="4"/>
      <c r="D31" s="4"/>
      <c r="E31" s="4"/>
      <c r="F31" s="4"/>
      <c r="G31" s="4"/>
      <c r="H31" s="4"/>
      <c r="I31" s="4"/>
      <c r="J31" s="4"/>
      <c r="K31" s="4"/>
      <c r="L31" s="4"/>
      <c r="M31" s="4"/>
    </row>
    <row r="32" spans="1:13">
      <c r="A32" s="7" t="s">
        <v>94</v>
      </c>
      <c r="B32" s="19"/>
      <c r="C32" s="20">
        <f t="shared" ref="C32:K32" si="2">IF(B6=0,"",C6/B6-1)</f>
        <v>0.40578871201157751</v>
      </c>
      <c r="D32" s="20">
        <f t="shared" si="2"/>
        <v>0.20609429689108505</v>
      </c>
      <c r="E32" s="20">
        <f t="shared" si="2"/>
        <v>-6.8111983612154314E-2</v>
      </c>
      <c r="F32" s="20">
        <f t="shared" si="2"/>
        <v>0.52729437625938824</v>
      </c>
      <c r="G32" s="20">
        <f t="shared" si="2"/>
        <v>0.61403298350824587</v>
      </c>
      <c r="H32" s="20">
        <f t="shared" si="2"/>
        <v>2.2293230289069932E-3</v>
      </c>
      <c r="I32" s="20">
        <f t="shared" si="2"/>
        <v>1.2585452658115224</v>
      </c>
      <c r="J32" s="20">
        <f t="shared" si="2"/>
        <v>1.1420340763599355</v>
      </c>
      <c r="K32" s="20">
        <f t="shared" si="2"/>
        <v>0.65473535790094783</v>
      </c>
    </row>
    <row r="33" spans="1:13">
      <c r="A33" s="7" t="s">
        <v>95</v>
      </c>
      <c r="B33" s="20">
        <f t="shared" ref="B33:K33" si="3">IF(B6=0,"",B9/B6)</f>
        <v>0.27988422575976846</v>
      </c>
      <c r="C33" s="20">
        <f t="shared" si="3"/>
        <v>0.33045089561457691</v>
      </c>
      <c r="D33" s="20">
        <f t="shared" si="3"/>
        <v>0.32468419255718678</v>
      </c>
      <c r="E33" s="20">
        <f t="shared" si="3"/>
        <v>0.2606704524638212</v>
      </c>
      <c r="F33" s="20">
        <f t="shared" si="3"/>
        <v>0.27178410794602698</v>
      </c>
      <c r="G33" s="20">
        <f t="shared" si="3"/>
        <v>0.37307720888756779</v>
      </c>
      <c r="H33" s="20">
        <f t="shared" si="3"/>
        <v>0.1565952398606065</v>
      </c>
      <c r="I33" s="20">
        <f t="shared" si="3"/>
        <v>0.54121663766783756</v>
      </c>
      <c r="J33" s="20">
        <f t="shared" si="3"/>
        <v>0.62417526839697468</v>
      </c>
      <c r="K33" s="20">
        <f t="shared" si="3"/>
        <v>0.60381683631412719</v>
      </c>
    </row>
    <row r="34" spans="1:13">
      <c r="A34" s="7" t="s">
        <v>96</v>
      </c>
      <c r="B34" s="20">
        <f t="shared" ref="B34:K34" si="4">IF(B6=0,"",B13/B6)</f>
        <v>0.24109985528219971</v>
      </c>
      <c r="C34" s="20">
        <f t="shared" si="4"/>
        <v>0.3136709903232448</v>
      </c>
      <c r="D34" s="20">
        <f t="shared" si="4"/>
        <v>0.35344827586206895</v>
      </c>
      <c r="E34" s="20">
        <f t="shared" si="4"/>
        <v>0.25609085913170909</v>
      </c>
      <c r="F34" s="20">
        <f t="shared" si="4"/>
        <v>0.25979010494752625</v>
      </c>
      <c r="G34" s="20">
        <f t="shared" si="4"/>
        <v>0.36233930296499961</v>
      </c>
      <c r="H34" s="20">
        <f t="shared" si="4"/>
        <v>0.16193371394676356</v>
      </c>
      <c r="I34" s="20">
        <f t="shared" si="4"/>
        <v>0.4884934834706674</v>
      </c>
      <c r="J34" s="20">
        <f t="shared" si="4"/>
        <v>0.55848027157712443</v>
      </c>
      <c r="K34" s="20">
        <f t="shared" si="4"/>
        <v>0.55602534060702613</v>
      </c>
    </row>
    <row r="35" spans="1:13">
      <c r="A35" s="7" t="s">
        <v>97</v>
      </c>
      <c r="B35" s="20">
        <f t="shared" ref="B35:K35" si="5">IFERROR(B12/B11,"")</f>
        <v>0.12545931758530185</v>
      </c>
      <c r="C35" s="20">
        <f t="shared" si="5"/>
        <v>4.6635367762128323E-2</v>
      </c>
      <c r="D35" s="20">
        <f t="shared" si="5"/>
        <v>-6.2885010266940447E-2</v>
      </c>
      <c r="E35" s="20">
        <f t="shared" si="5"/>
        <v>5.8585858585858588E-2</v>
      </c>
      <c r="F35" s="20">
        <f t="shared" si="5"/>
        <v>1.7464277613971423E-2</v>
      </c>
      <c r="G35" s="20">
        <f t="shared" si="5"/>
        <v>0.13384847677413625</v>
      </c>
      <c r="H35" s="20">
        <f t="shared" si="5"/>
        <v>-4.4726142071274816E-2</v>
      </c>
      <c r="I35" s="20">
        <f t="shared" si="5"/>
        <v>0.1199952687917677</v>
      </c>
      <c r="J35" s="20">
        <f t="shared" si="5"/>
        <v>0.13264941803727417</v>
      </c>
      <c r="K35" s="20">
        <f t="shared" si="5"/>
        <v>0.15117002474372571</v>
      </c>
      <c r="M35" s="9" t="s">
        <v>98</v>
      </c>
    </row>
    <row r="36" spans="1:13">
      <c r="A36" s="7" t="s">
        <v>99</v>
      </c>
      <c r="B36" s="20">
        <f t="shared" ref="B36:K36" si="6">IF(B6=0,"",B17/B6)</f>
        <v>2.5470332850940667E-2</v>
      </c>
      <c r="C36" s="20">
        <f t="shared" si="6"/>
        <v>6.1045913115091617E-2</v>
      </c>
      <c r="D36" s="20">
        <f t="shared" si="6"/>
        <v>5.1212017753499491E-2</v>
      </c>
      <c r="E36" s="20">
        <f t="shared" si="6"/>
        <v>4.478842278805642E-2</v>
      </c>
      <c r="F36" s="20">
        <f t="shared" si="6"/>
        <v>6.7646176911544231E-2</v>
      </c>
      <c r="G36" s="20">
        <f t="shared" si="6"/>
        <v>3.6263654603552055E-2</v>
      </c>
      <c r="H36" s="20">
        <f t="shared" si="6"/>
        <v>6.7954326388373995E-2</v>
      </c>
      <c r="I36" s="20">
        <f t="shared" si="6"/>
        <v>1.7547027346442992E-2</v>
      </c>
      <c r="J36" s="20">
        <f t="shared" si="6"/>
        <v>2.4797504923484832E-2</v>
      </c>
      <c r="K36" s="20">
        <f t="shared" si="6"/>
        <v>2.7980253591308617E-2</v>
      </c>
    </row>
    <row r="37" spans="1:13">
      <c r="A37" s="7" t="s">
        <v>100</v>
      </c>
      <c r="B37" s="21">
        <f t="shared" ref="B37:K37" si="7">IFERROR(B17/B18,"")</f>
        <v>0.94117647058823528</v>
      </c>
      <c r="C37" s="21">
        <f t="shared" si="7"/>
        <v>2.9798994974874371</v>
      </c>
      <c r="D37" s="21">
        <f t="shared" si="7"/>
        <v>2.2900763358778624</v>
      </c>
      <c r="E37" s="21">
        <f t="shared" si="7"/>
        <v>1.2834645669291338</v>
      </c>
      <c r="F37" s="21">
        <f t="shared" si="7"/>
        <v>1.0273224043715847</v>
      </c>
      <c r="G37" s="21">
        <f t="shared" si="7"/>
        <v>0.83134582623509368</v>
      </c>
      <c r="H37" s="21">
        <f t="shared" si="7"/>
        <v>1.1871761658031088</v>
      </c>
      <c r="I37" s="21">
        <f t="shared" si="7"/>
        <v>0.70888594164456231</v>
      </c>
      <c r="J37" s="21">
        <f t="shared" si="7"/>
        <v>1.7360515021459229</v>
      </c>
      <c r="K37" s="21">
        <f t="shared" si="7"/>
        <v>2.1252198381990857</v>
      </c>
      <c r="M37" s="3" t="s">
        <v>101</v>
      </c>
    </row>
    <row r="39" spans="1:13">
      <c r="A39" s="11" t="s">
        <v>102</v>
      </c>
      <c r="B39" s="4"/>
      <c r="C39" s="4"/>
      <c r="D39" s="4"/>
      <c r="E39" s="4"/>
      <c r="F39" s="4"/>
      <c r="G39" s="4"/>
      <c r="H39" s="4"/>
      <c r="I39" s="4"/>
      <c r="J39" s="4"/>
      <c r="K39" s="4"/>
      <c r="L39" s="4"/>
      <c r="M39" s="4"/>
    </row>
    <row r="40" spans="1:13">
      <c r="A40" s="22" t="s">
        <v>103</v>
      </c>
      <c r="B40" s="23">
        <v>0.21</v>
      </c>
      <c r="C40" s="23">
        <v>0.21</v>
      </c>
      <c r="D40" s="23">
        <v>0.21</v>
      </c>
      <c r="E40" s="23">
        <v>0.21</v>
      </c>
      <c r="F40" s="23">
        <v>0.21</v>
      </c>
      <c r="G40" s="23">
        <v>0.21</v>
      </c>
      <c r="H40" s="23">
        <v>0.21</v>
      </c>
      <c r="I40" s="23">
        <v>0.21</v>
      </c>
      <c r="J40" s="23">
        <v>0.21</v>
      </c>
      <c r="K40" s="23">
        <v>0.21</v>
      </c>
      <c r="M40" s="9" t="s">
        <v>104</v>
      </c>
    </row>
    <row r="41" spans="1:13">
      <c r="A41" s="7" t="s">
        <v>105</v>
      </c>
      <c r="B41" s="17">
        <f t="shared" ref="B41:K41" si="8">B10*(1-B40)</f>
        <v>45.82</v>
      </c>
      <c r="C41" s="17">
        <f t="shared" si="8"/>
        <v>48.190000000000005</v>
      </c>
      <c r="D41" s="17">
        <f t="shared" si="8"/>
        <v>45.82</v>
      </c>
      <c r="E41" s="17">
        <f t="shared" si="8"/>
        <v>41.08</v>
      </c>
      <c r="F41" s="17">
        <f t="shared" si="8"/>
        <v>145.36000000000001</v>
      </c>
      <c r="G41" s="17">
        <f t="shared" si="8"/>
        <v>186.44</v>
      </c>
      <c r="H41" s="17">
        <f t="shared" si="8"/>
        <v>206.98000000000002</v>
      </c>
      <c r="I41" s="17">
        <f t="shared" si="8"/>
        <v>203.03</v>
      </c>
      <c r="J41" s="17">
        <f t="shared" si="8"/>
        <v>195.13</v>
      </c>
      <c r="K41" s="17">
        <f t="shared" si="8"/>
        <v>204.61</v>
      </c>
    </row>
    <row r="42" spans="1:13">
      <c r="A42" s="8" t="s">
        <v>106</v>
      </c>
      <c r="B42" s="17">
        <f t="shared" ref="B42:K42" si="9">B16+B41-B17</f>
        <v>1541.82</v>
      </c>
      <c r="C42" s="17">
        <f t="shared" si="9"/>
        <v>2957.19</v>
      </c>
      <c r="D42" s="17">
        <f t="shared" si="9"/>
        <v>3188.82</v>
      </c>
      <c r="E42" s="17">
        <f t="shared" si="9"/>
        <v>4313.08</v>
      </c>
      <c r="F42" s="17">
        <f t="shared" si="9"/>
        <v>4839.3599999999997</v>
      </c>
      <c r="G42" s="17">
        <f t="shared" si="9"/>
        <v>8318.44</v>
      </c>
      <c r="H42" s="17">
        <f t="shared" si="9"/>
        <v>4014.9799999999996</v>
      </c>
      <c r="I42" s="17">
        <f t="shared" si="9"/>
        <v>27224.03</v>
      </c>
      <c r="J42" s="17">
        <f t="shared" si="9"/>
        <v>61048.13</v>
      </c>
      <c r="K42" s="17">
        <f t="shared" si="9"/>
        <v>96880.61</v>
      </c>
    </row>
    <row r="43" spans="1:13">
      <c r="A43" s="6" t="s">
        <v>107</v>
      </c>
      <c r="B43" s="20">
        <f t="shared" ref="B43:K43" si="10">IF(B6=0,"",B42/B6)</f>
        <v>0.22312879884225759</v>
      </c>
      <c r="C43" s="20">
        <f t="shared" si="10"/>
        <v>0.30442557134033355</v>
      </c>
      <c r="D43" s="20">
        <f t="shared" si="10"/>
        <v>0.27217651075452376</v>
      </c>
      <c r="E43" s="20">
        <f t="shared" si="10"/>
        <v>0.39504304817732183</v>
      </c>
      <c r="F43" s="20">
        <f t="shared" si="10"/>
        <v>0.2902164917541229</v>
      </c>
      <c r="G43" s="20">
        <f t="shared" si="10"/>
        <v>0.30907483094300364</v>
      </c>
      <c r="H43" s="20">
        <f t="shared" si="10"/>
        <v>0.14884629643360273</v>
      </c>
      <c r="I43" s="20">
        <f t="shared" si="10"/>
        <v>0.446866977446571</v>
      </c>
      <c r="J43" s="20">
        <f t="shared" si="10"/>
        <v>0.46781251676283742</v>
      </c>
      <c r="K43" s="20">
        <f t="shared" si="10"/>
        <v>0.4486501217942187</v>
      </c>
    </row>
    <row r="45" spans="1:13">
      <c r="A45" s="7" t="s">
        <v>108</v>
      </c>
      <c r="B45" s="17">
        <f t="shared" ref="B45:K45" si="11">B9*(1-B40)</f>
        <v>1527.8600000000001</v>
      </c>
      <c r="C45" s="17">
        <f t="shared" si="11"/>
        <v>2535.9</v>
      </c>
      <c r="D45" s="17">
        <f t="shared" si="11"/>
        <v>3005.1600000000003</v>
      </c>
      <c r="E45" s="17">
        <f t="shared" si="11"/>
        <v>2248.34</v>
      </c>
      <c r="F45" s="17">
        <f t="shared" si="11"/>
        <v>3580.28</v>
      </c>
      <c r="G45" s="17">
        <f t="shared" si="11"/>
        <v>7932.39</v>
      </c>
      <c r="H45" s="17">
        <f t="shared" si="11"/>
        <v>3336.96</v>
      </c>
      <c r="I45" s="17">
        <f t="shared" si="11"/>
        <v>26047.88</v>
      </c>
      <c r="J45" s="17">
        <f t="shared" si="11"/>
        <v>64347.87</v>
      </c>
      <c r="K45" s="17">
        <f t="shared" si="11"/>
        <v>103005.73000000001</v>
      </c>
    </row>
    <row r="46" spans="1:13">
      <c r="A46" s="7" t="s">
        <v>109</v>
      </c>
      <c r="B46" s="17">
        <f t="shared" ref="B46:K46" si="12">B45+B18-B17</f>
        <v>1538.8600000000001</v>
      </c>
      <c r="C46" s="17">
        <f t="shared" si="12"/>
        <v>2141.9</v>
      </c>
      <c r="D46" s="17">
        <f t="shared" si="12"/>
        <v>2667.1600000000003</v>
      </c>
      <c r="E46" s="17">
        <f t="shared" si="12"/>
        <v>2140.34</v>
      </c>
      <c r="F46" s="17">
        <f t="shared" si="12"/>
        <v>3550.2800000000007</v>
      </c>
      <c r="G46" s="17">
        <f t="shared" si="12"/>
        <v>8130.3899999999994</v>
      </c>
      <c r="H46" s="17">
        <f t="shared" si="12"/>
        <v>3047.96</v>
      </c>
      <c r="I46" s="17">
        <f t="shared" si="12"/>
        <v>26486.880000000001</v>
      </c>
      <c r="J46" s="17">
        <f t="shared" si="12"/>
        <v>62975.869999999995</v>
      </c>
      <c r="K46" s="17">
        <f t="shared" si="12"/>
        <v>99806.73000000001</v>
      </c>
      <c r="M46" s="9" t="s">
        <v>110</v>
      </c>
    </row>
    <row r="48" spans="1:13">
      <c r="A48" s="8" t="s">
        <v>111</v>
      </c>
      <c r="B48" s="24" t="s">
        <v>112</v>
      </c>
      <c r="C48" s="24" t="s">
        <v>112</v>
      </c>
      <c r="D48" s="24" t="s">
        <v>112</v>
      </c>
      <c r="E48" s="24" t="s">
        <v>112</v>
      </c>
      <c r="F48" s="24" t="s">
        <v>112</v>
      </c>
      <c r="G48" s="24" t="s">
        <v>112</v>
      </c>
      <c r="H48" s="24" t="s">
        <v>112</v>
      </c>
      <c r="I48" s="24" t="s">
        <v>112</v>
      </c>
      <c r="J48" s="24" t="s">
        <v>113</v>
      </c>
      <c r="K48" s="24" t="s">
        <v>113</v>
      </c>
      <c r="M48" s="3" t="s">
        <v>114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8"/>
  <sheetViews>
    <sheetView showGridLines="0" zoomScaleNormal="100" workbookViewId="0">
      <pane xSplit="1" ySplit="4" topLeftCell="B5" activePane="bottomRight" state="frozen"/>
      <selection pane="topRight" activeCell="B1" sqref="B1"/>
      <selection pane="bottomLeft" activeCell="A5" sqref="A5"/>
      <selection pane="bottomRight" activeCell="K14" sqref="K14"/>
    </sheetView>
  </sheetViews>
  <sheetFormatPr defaultColWidth="8.6328125" defaultRowHeight="14.5"/>
  <cols>
    <col min="1" max="1" width="52" customWidth="1"/>
    <col min="2" max="11" width="12" customWidth="1"/>
    <col min="12" max="12" width="6" customWidth="1"/>
    <col min="13" max="13" width="52" customWidth="1"/>
  </cols>
  <sheetData>
    <row r="1" spans="1:13" ht="18">
      <c r="A1" s="2" t="s">
        <v>115</v>
      </c>
    </row>
    <row r="2" spans="1:13">
      <c r="A2" s="9" t="s">
        <v>116</v>
      </c>
    </row>
    <row r="4" spans="1:13">
      <c r="A4" s="13" t="s">
        <v>54</v>
      </c>
      <c r="B4" s="14" t="s">
        <v>117</v>
      </c>
      <c r="C4" s="14" t="s">
        <v>55</v>
      </c>
      <c r="D4" s="14" t="s">
        <v>56</v>
      </c>
      <c r="E4" s="14" t="s">
        <v>57</v>
      </c>
      <c r="F4" s="14" t="s">
        <v>58</v>
      </c>
      <c r="G4" s="14" t="s">
        <v>59</v>
      </c>
      <c r="H4" s="14" t="s">
        <v>60</v>
      </c>
      <c r="I4" s="14" t="s">
        <v>61</v>
      </c>
      <c r="J4" s="14" t="s">
        <v>62</v>
      </c>
      <c r="K4" s="14" t="s">
        <v>63</v>
      </c>
      <c r="L4" s="15" t="s">
        <v>65</v>
      </c>
      <c r="M4" s="13" t="s">
        <v>66</v>
      </c>
    </row>
    <row r="5" spans="1:13">
      <c r="A5" s="4" t="s">
        <v>67</v>
      </c>
      <c r="B5" s="4"/>
      <c r="C5" s="4"/>
      <c r="D5" s="4"/>
      <c r="E5" s="4"/>
      <c r="F5" s="4"/>
      <c r="G5" s="4"/>
      <c r="H5" s="4"/>
      <c r="I5" s="4"/>
      <c r="J5" s="4"/>
      <c r="K5" s="4"/>
      <c r="L5" s="4"/>
      <c r="M5" s="4"/>
    </row>
    <row r="6" spans="1:13">
      <c r="A6" s="8" t="s">
        <v>68</v>
      </c>
      <c r="B6" s="16">
        <v>17198</v>
      </c>
      <c r="C6" s="16">
        <v>30109</v>
      </c>
      <c r="D6" s="16">
        <v>40445</v>
      </c>
      <c r="E6" s="16">
        <v>26991</v>
      </c>
      <c r="F6" s="16">
        <v>31900</v>
      </c>
      <c r="G6" s="16">
        <v>42998</v>
      </c>
      <c r="H6" s="16">
        <v>44648</v>
      </c>
      <c r="I6" s="16">
        <v>32766</v>
      </c>
      <c r="J6" s="16">
        <v>66193</v>
      </c>
      <c r="K6" s="16">
        <v>97147</v>
      </c>
    </row>
    <row r="7" spans="1:13">
      <c r="A7" s="7" t="s">
        <v>69</v>
      </c>
      <c r="B7" s="16">
        <v>5528</v>
      </c>
      <c r="C7" s="16">
        <v>17164</v>
      </c>
      <c r="D7" s="16">
        <v>24625</v>
      </c>
      <c r="E7" s="16">
        <v>7757</v>
      </c>
      <c r="F7" s="16">
        <v>12470</v>
      </c>
      <c r="G7" s="16">
        <v>20265</v>
      </c>
      <c r="H7" s="16">
        <v>16193</v>
      </c>
      <c r="I7" s="16">
        <v>-533</v>
      </c>
      <c r="J7" s="16">
        <v>31828</v>
      </c>
      <c r="K7" s="16">
        <v>58691</v>
      </c>
    </row>
    <row r="8" spans="1:13">
      <c r="A8" s="7" t="s">
        <v>118</v>
      </c>
      <c r="B8" s="16">
        <v>1220</v>
      </c>
      <c r="C8" s="16">
        <v>1719</v>
      </c>
      <c r="D8" s="16">
        <v>2003</v>
      </c>
      <c r="E8" s="16">
        <v>2531</v>
      </c>
      <c r="F8" s="16">
        <v>3123</v>
      </c>
      <c r="G8" s="16">
        <v>3529</v>
      </c>
      <c r="H8" s="16">
        <v>4472</v>
      </c>
      <c r="I8" s="16">
        <v>3446</v>
      </c>
      <c r="J8" s="16">
        <v>3924</v>
      </c>
      <c r="K8" s="16">
        <v>5019</v>
      </c>
    </row>
    <row r="9" spans="1:13">
      <c r="A9" s="7" t="s">
        <v>119</v>
      </c>
      <c r="B9" s="16">
        <v>1031</v>
      </c>
      <c r="C9" s="16">
        <v>1724</v>
      </c>
      <c r="D9" s="16">
        <v>1778</v>
      </c>
      <c r="E9" s="16">
        <v>2513</v>
      </c>
      <c r="F9" s="16">
        <v>4221</v>
      </c>
      <c r="G9" s="16">
        <v>4326</v>
      </c>
      <c r="H9" s="16">
        <v>4714</v>
      </c>
      <c r="I9" s="16">
        <v>3751</v>
      </c>
      <c r="J9" s="16">
        <v>4436</v>
      </c>
      <c r="K9" s="16">
        <v>6466</v>
      </c>
    </row>
    <row r="10" spans="1:13">
      <c r="A10" s="8" t="s">
        <v>71</v>
      </c>
      <c r="B10" s="16">
        <v>3277</v>
      </c>
      <c r="C10" s="16">
        <v>13721</v>
      </c>
      <c r="D10" s="16">
        <v>20844</v>
      </c>
      <c r="E10" s="16">
        <v>2713</v>
      </c>
      <c r="F10" s="16">
        <v>5126</v>
      </c>
      <c r="G10" s="16">
        <v>12410</v>
      </c>
      <c r="H10" s="16">
        <v>7007</v>
      </c>
      <c r="I10" s="16">
        <v>-7730</v>
      </c>
      <c r="J10" s="16">
        <v>23468</v>
      </c>
      <c r="K10" s="16">
        <v>47206</v>
      </c>
    </row>
    <row r="11" spans="1:13">
      <c r="A11" s="7" t="s">
        <v>120</v>
      </c>
      <c r="B11" s="16"/>
      <c r="C11" s="16"/>
      <c r="D11" s="16"/>
      <c r="E11" s="16"/>
      <c r="F11" s="16"/>
      <c r="G11" s="16"/>
      <c r="H11" s="16"/>
      <c r="I11" s="16"/>
      <c r="J11" s="16"/>
      <c r="K11" s="16"/>
      <c r="M11" s="3" t="s">
        <v>121</v>
      </c>
    </row>
    <row r="12" spans="1:13">
      <c r="A12" s="7" t="s">
        <v>74</v>
      </c>
      <c r="B12" s="16">
        <v>3646</v>
      </c>
      <c r="C12" s="16">
        <v>13847</v>
      </c>
      <c r="D12" s="16">
        <v>21125</v>
      </c>
      <c r="E12" s="16">
        <v>2665</v>
      </c>
      <c r="F12" s="16">
        <v>6221</v>
      </c>
      <c r="G12" s="16">
        <v>12447</v>
      </c>
      <c r="H12" s="16">
        <v>3406</v>
      </c>
      <c r="I12" s="16">
        <v>-11658</v>
      </c>
      <c r="J12" s="16">
        <v>23885</v>
      </c>
      <c r="K12" s="16">
        <v>50466</v>
      </c>
    </row>
    <row r="13" spans="1:13">
      <c r="A13" s="7" t="s">
        <v>75</v>
      </c>
      <c r="B13" s="16">
        <v>692</v>
      </c>
      <c r="C13" s="16">
        <v>3205</v>
      </c>
      <c r="D13" s="16">
        <v>5585</v>
      </c>
      <c r="E13" s="16">
        <v>649</v>
      </c>
      <c r="F13" s="16">
        <v>1462</v>
      </c>
      <c r="G13" s="16">
        <v>2830</v>
      </c>
      <c r="H13" s="16">
        <v>967</v>
      </c>
      <c r="I13" s="16">
        <v>-2520</v>
      </c>
      <c r="J13" s="16">
        <v>4088</v>
      </c>
      <c r="K13" s="16">
        <v>7518</v>
      </c>
    </row>
    <row r="14" spans="1:13">
      <c r="A14" s="8" t="s">
        <v>76</v>
      </c>
      <c r="B14" s="16">
        <v>2954</v>
      </c>
      <c r="C14" s="16">
        <v>10642</v>
      </c>
      <c r="D14" s="16">
        <v>15540</v>
      </c>
      <c r="E14" s="16">
        <v>2016</v>
      </c>
      <c r="F14" s="16">
        <v>4759</v>
      </c>
      <c r="G14" s="16">
        <v>9617</v>
      </c>
      <c r="H14" s="16">
        <v>2439</v>
      </c>
      <c r="I14" s="16">
        <v>-9138</v>
      </c>
      <c r="J14" s="16">
        <v>19797</v>
      </c>
      <c r="K14" s="16">
        <v>42948</v>
      </c>
    </row>
    <row r="16" spans="1:13">
      <c r="A16" s="4" t="s">
        <v>77</v>
      </c>
      <c r="B16" s="4"/>
      <c r="C16" s="4"/>
      <c r="D16" s="4"/>
      <c r="E16" s="4"/>
      <c r="F16" s="4"/>
      <c r="G16" s="4"/>
      <c r="H16" s="4"/>
      <c r="I16" s="4"/>
      <c r="J16" s="4"/>
      <c r="K16" s="4"/>
      <c r="L16" s="4"/>
      <c r="M16" s="4"/>
    </row>
    <row r="17" spans="1:13">
      <c r="A17" s="8" t="s">
        <v>78</v>
      </c>
      <c r="B17" s="16">
        <v>5361</v>
      </c>
      <c r="C17" s="16">
        <v>14944</v>
      </c>
      <c r="D17" s="16">
        <v>21114</v>
      </c>
      <c r="E17" s="16">
        <v>12167</v>
      </c>
      <c r="F17" s="16">
        <v>12335</v>
      </c>
      <c r="G17" s="16">
        <v>19750</v>
      </c>
      <c r="H17" s="16">
        <v>14771</v>
      </c>
      <c r="I17" s="16">
        <v>4278</v>
      </c>
      <c r="J17" s="16">
        <v>29796</v>
      </c>
      <c r="K17" s="16">
        <v>53373</v>
      </c>
    </row>
    <row r="18" spans="1:13">
      <c r="A18" s="7" t="s">
        <v>79</v>
      </c>
      <c r="B18" s="16">
        <v>6293</v>
      </c>
      <c r="C18" s="16">
        <v>9569</v>
      </c>
      <c r="D18" s="16">
        <v>17000</v>
      </c>
      <c r="E18" s="16">
        <v>12665</v>
      </c>
      <c r="F18" s="16">
        <v>10100</v>
      </c>
      <c r="G18" s="16">
        <v>12487</v>
      </c>
      <c r="H18" s="16">
        <v>19010</v>
      </c>
      <c r="I18" s="16">
        <v>8325</v>
      </c>
      <c r="J18" s="16">
        <v>15946</v>
      </c>
      <c r="K18" s="16">
        <v>27519</v>
      </c>
      <c r="M18" s="9" t="s">
        <v>80</v>
      </c>
    </row>
    <row r="19" spans="1:13">
      <c r="A19" s="7" t="s">
        <v>81</v>
      </c>
      <c r="B19" s="16">
        <v>4924</v>
      </c>
      <c r="C19" s="16">
        <v>5344</v>
      </c>
      <c r="D19" s="16">
        <v>6613</v>
      </c>
      <c r="E19" s="16">
        <v>9308</v>
      </c>
      <c r="F19" s="16">
        <v>10390</v>
      </c>
      <c r="G19" s="16">
        <v>12040</v>
      </c>
      <c r="H19" s="16">
        <v>13800</v>
      </c>
      <c r="I19" s="16">
        <v>13619</v>
      </c>
      <c r="J19" s="16">
        <v>12545</v>
      </c>
      <c r="K19" s="16">
        <v>13890</v>
      </c>
    </row>
    <row r="21" spans="1:13">
      <c r="A21" s="4" t="s">
        <v>84</v>
      </c>
      <c r="B21" s="4"/>
      <c r="C21" s="4"/>
      <c r="D21" s="4"/>
      <c r="E21" s="4"/>
      <c r="F21" s="4"/>
      <c r="G21" s="4"/>
      <c r="H21" s="4"/>
      <c r="I21" s="4"/>
      <c r="J21" s="4"/>
      <c r="K21" s="4"/>
      <c r="L21" s="4"/>
      <c r="M21" s="4"/>
    </row>
    <row r="22" spans="1:13">
      <c r="A22" s="7" t="s">
        <v>85</v>
      </c>
      <c r="B22" s="16">
        <v>32319</v>
      </c>
      <c r="C22" s="16">
        <v>40289</v>
      </c>
      <c r="D22" s="16">
        <v>63548</v>
      </c>
      <c r="E22" s="16">
        <v>71299</v>
      </c>
      <c r="F22" s="16">
        <v>85284</v>
      </c>
      <c r="G22" s="16">
        <v>100000</v>
      </c>
      <c r="H22" s="16">
        <v>103873</v>
      </c>
      <c r="I22" s="16">
        <v>100330</v>
      </c>
      <c r="J22" s="16">
        <v>119855</v>
      </c>
      <c r="K22" s="16">
        <v>176108</v>
      </c>
    </row>
    <row r="23" spans="1:13">
      <c r="A23" s="7" t="s">
        <v>122</v>
      </c>
      <c r="B23" s="16">
        <v>1500</v>
      </c>
      <c r="C23" s="16">
        <v>1800</v>
      </c>
      <c r="D23" s="16">
        <v>2900</v>
      </c>
      <c r="E23" s="16">
        <v>2280</v>
      </c>
      <c r="F23" s="16">
        <v>4477</v>
      </c>
      <c r="G23" s="16">
        <v>4372</v>
      </c>
      <c r="H23" s="16">
        <v>4936</v>
      </c>
      <c r="I23" s="16">
        <v>7587</v>
      </c>
      <c r="J23" s="16">
        <v>11205</v>
      </c>
      <c r="K23" s="16">
        <v>14924</v>
      </c>
    </row>
    <row r="24" spans="1:13">
      <c r="A24" s="7" t="s">
        <v>87</v>
      </c>
      <c r="B24" s="16">
        <v>2200</v>
      </c>
      <c r="C24" s="16">
        <v>1300</v>
      </c>
      <c r="D24" s="16">
        <v>1900</v>
      </c>
      <c r="E24" s="16">
        <v>2900</v>
      </c>
      <c r="F24" s="16">
        <v>3400</v>
      </c>
      <c r="G24" s="16">
        <v>4200</v>
      </c>
      <c r="H24" s="16">
        <v>6600</v>
      </c>
      <c r="I24" s="16">
        <v>9857</v>
      </c>
      <c r="J24" s="16">
        <v>5252</v>
      </c>
      <c r="K24" s="16">
        <v>8162</v>
      </c>
    </row>
    <row r="25" spans="1:13">
      <c r="A25" s="7" t="s">
        <v>88</v>
      </c>
      <c r="B25" s="16">
        <v>4500</v>
      </c>
      <c r="C25" s="16">
        <v>3600</v>
      </c>
      <c r="D25" s="16">
        <v>4000</v>
      </c>
      <c r="E25" s="16">
        <v>8800</v>
      </c>
      <c r="F25" s="16">
        <v>12200</v>
      </c>
      <c r="G25" s="16">
        <v>16700</v>
      </c>
      <c r="H25" s="16">
        <v>17100</v>
      </c>
      <c r="I25" s="16">
        <v>19611</v>
      </c>
      <c r="J25" s="16">
        <v>17431</v>
      </c>
      <c r="K25" s="16">
        <v>14086</v>
      </c>
    </row>
    <row r="26" spans="1:13">
      <c r="A26" s="8" t="s">
        <v>89</v>
      </c>
      <c r="B26" s="17">
        <f t="shared" ref="B26:K26" si="0">B24+B25</f>
        <v>6700</v>
      </c>
      <c r="C26" s="17">
        <f t="shared" si="0"/>
        <v>4900</v>
      </c>
      <c r="D26" s="17">
        <f t="shared" si="0"/>
        <v>5900</v>
      </c>
      <c r="E26" s="17">
        <f t="shared" si="0"/>
        <v>11700</v>
      </c>
      <c r="F26" s="17">
        <f t="shared" si="0"/>
        <v>15600</v>
      </c>
      <c r="G26" s="17">
        <f t="shared" si="0"/>
        <v>20900</v>
      </c>
      <c r="H26" s="17">
        <f t="shared" si="0"/>
        <v>23700</v>
      </c>
      <c r="I26" s="17">
        <f t="shared" si="0"/>
        <v>29468</v>
      </c>
      <c r="J26" s="17">
        <f t="shared" si="0"/>
        <v>22683</v>
      </c>
      <c r="K26" s="17">
        <f t="shared" si="0"/>
        <v>22248</v>
      </c>
    </row>
    <row r="27" spans="1:13">
      <c r="A27" s="7" t="s">
        <v>90</v>
      </c>
      <c r="B27" s="17">
        <f t="shared" ref="B27:K27" si="1">B26-B23</f>
        <v>5200</v>
      </c>
      <c r="C27" s="17">
        <f t="shared" si="1"/>
        <v>3100</v>
      </c>
      <c r="D27" s="17">
        <f t="shared" si="1"/>
        <v>3000</v>
      </c>
      <c r="E27" s="17">
        <f t="shared" si="1"/>
        <v>9420</v>
      </c>
      <c r="F27" s="17">
        <f t="shared" si="1"/>
        <v>11123</v>
      </c>
      <c r="G27" s="17">
        <f t="shared" si="1"/>
        <v>16528</v>
      </c>
      <c r="H27" s="17">
        <f t="shared" si="1"/>
        <v>18764</v>
      </c>
      <c r="I27" s="17">
        <f t="shared" si="1"/>
        <v>21881</v>
      </c>
      <c r="J27" s="17">
        <f t="shared" si="1"/>
        <v>11478</v>
      </c>
      <c r="K27" s="17">
        <f t="shared" si="1"/>
        <v>7324</v>
      </c>
    </row>
    <row r="28" spans="1:13">
      <c r="A28" s="8" t="s">
        <v>91</v>
      </c>
      <c r="B28" s="16">
        <v>22226</v>
      </c>
      <c r="C28" s="16">
        <v>31181</v>
      </c>
      <c r="D28" s="16">
        <v>46512</v>
      </c>
      <c r="E28" s="16">
        <v>49135</v>
      </c>
      <c r="F28" s="16">
        <v>53186</v>
      </c>
      <c r="G28" s="16">
        <v>63125</v>
      </c>
      <c r="H28" s="16">
        <v>61242</v>
      </c>
      <c r="I28" s="16">
        <v>53504</v>
      </c>
      <c r="J28" s="16">
        <v>73916</v>
      </c>
      <c r="K28" s="16">
        <v>120667</v>
      </c>
    </row>
    <row r="29" spans="1:13">
      <c r="A29" s="7" t="s">
        <v>92</v>
      </c>
      <c r="B29" s="18">
        <v>728</v>
      </c>
      <c r="C29" s="18">
        <v>728</v>
      </c>
      <c r="D29" s="18">
        <v>728</v>
      </c>
      <c r="E29" s="18">
        <v>728</v>
      </c>
      <c r="F29" s="18">
        <v>728</v>
      </c>
      <c r="G29" s="18">
        <v>728</v>
      </c>
      <c r="H29" s="18">
        <v>728</v>
      </c>
      <c r="I29" s="18">
        <v>728</v>
      </c>
      <c r="J29" s="18">
        <v>728</v>
      </c>
      <c r="K29" s="18">
        <v>728</v>
      </c>
    </row>
    <row r="31" spans="1:13">
      <c r="A31" s="4" t="s">
        <v>93</v>
      </c>
      <c r="B31" s="4"/>
      <c r="C31" s="4"/>
      <c r="D31" s="4"/>
      <c r="E31" s="4"/>
      <c r="F31" s="4"/>
      <c r="G31" s="4"/>
      <c r="H31" s="4"/>
      <c r="I31" s="4"/>
      <c r="J31" s="4"/>
      <c r="K31" s="4"/>
      <c r="L31" s="4"/>
      <c r="M31" s="4"/>
    </row>
    <row r="32" spans="1:13">
      <c r="A32" s="7" t="s">
        <v>94</v>
      </c>
      <c r="B32" s="19"/>
      <c r="C32" s="20">
        <f t="shared" ref="C32:K32" si="2">IF(B6=0,"",C6/B6-1)</f>
        <v>0.75072682870101182</v>
      </c>
      <c r="D32" s="20">
        <f t="shared" si="2"/>
        <v>0.34328606064631839</v>
      </c>
      <c r="E32" s="20">
        <f t="shared" si="2"/>
        <v>-0.33264927679564837</v>
      </c>
      <c r="F32" s="20">
        <f t="shared" si="2"/>
        <v>0.1818754399614686</v>
      </c>
      <c r="G32" s="20">
        <f t="shared" si="2"/>
        <v>0.34789968652037628</v>
      </c>
      <c r="H32" s="20">
        <f t="shared" si="2"/>
        <v>3.8373877854783967E-2</v>
      </c>
      <c r="I32" s="20">
        <f t="shared" si="2"/>
        <v>-0.26612614226841069</v>
      </c>
      <c r="J32" s="20">
        <f t="shared" si="2"/>
        <v>1.0201733504242201</v>
      </c>
      <c r="K32" s="20">
        <f t="shared" si="2"/>
        <v>0.46763252911939324</v>
      </c>
    </row>
    <row r="33" spans="1:13">
      <c r="A33" s="7" t="s">
        <v>95</v>
      </c>
      <c r="B33" s="20">
        <f t="shared" ref="B33:K33" si="3">IF(B6=0,"",B10/B6)</f>
        <v>0.19054541225723923</v>
      </c>
      <c r="C33" s="20">
        <f t="shared" si="3"/>
        <v>0.45571091700156102</v>
      </c>
      <c r="D33" s="20">
        <f t="shared" si="3"/>
        <v>0.51536654716281372</v>
      </c>
      <c r="E33" s="20">
        <f t="shared" si="3"/>
        <v>0.10051498647697381</v>
      </c>
      <c r="F33" s="20">
        <f t="shared" si="3"/>
        <v>0.16068965517241379</v>
      </c>
      <c r="G33" s="20">
        <f t="shared" si="3"/>
        <v>0.28861807525931438</v>
      </c>
      <c r="H33" s="20">
        <f t="shared" si="3"/>
        <v>0.15693872065938003</v>
      </c>
      <c r="I33" s="20">
        <f t="shared" si="3"/>
        <v>-0.23591527803210646</v>
      </c>
      <c r="J33" s="20">
        <f t="shared" si="3"/>
        <v>0.35453899959210189</v>
      </c>
      <c r="K33" s="20">
        <f t="shared" si="3"/>
        <v>0.48592339444347227</v>
      </c>
    </row>
    <row r="34" spans="1:13">
      <c r="A34" s="7" t="s">
        <v>96</v>
      </c>
      <c r="B34" s="20">
        <f t="shared" ref="B34:K34" si="4">IF(B6=0,"",B14/B6)</f>
        <v>0.17176415862309571</v>
      </c>
      <c r="C34" s="20">
        <f t="shared" si="4"/>
        <v>0.35344913481018964</v>
      </c>
      <c r="D34" s="20">
        <f t="shared" si="4"/>
        <v>0.38422549140808504</v>
      </c>
      <c r="E34" s="20">
        <f t="shared" si="4"/>
        <v>7.4691563854618212E-2</v>
      </c>
      <c r="F34" s="20">
        <f t="shared" si="4"/>
        <v>0.14918495297805642</v>
      </c>
      <c r="G34" s="20">
        <f t="shared" si="4"/>
        <v>0.22366156565421647</v>
      </c>
      <c r="H34" s="20">
        <f t="shared" si="4"/>
        <v>5.4627306934241178E-2</v>
      </c>
      <c r="I34" s="20">
        <f t="shared" si="4"/>
        <v>-0.27888665079655739</v>
      </c>
      <c r="J34" s="20">
        <f t="shared" si="4"/>
        <v>0.29907996313809615</v>
      </c>
      <c r="K34" s="20">
        <f t="shared" si="4"/>
        <v>0.44209291074351242</v>
      </c>
    </row>
    <row r="35" spans="1:13">
      <c r="A35" s="7" t="s">
        <v>97</v>
      </c>
      <c r="B35" s="20">
        <f t="shared" ref="B35:K35" si="5">IFERROR(B13/B12,"")</f>
        <v>0.18979703784969829</v>
      </c>
      <c r="C35" s="20">
        <f t="shared" si="5"/>
        <v>0.23145807756192677</v>
      </c>
      <c r="D35" s="20">
        <f t="shared" si="5"/>
        <v>0.26437869822485205</v>
      </c>
      <c r="E35" s="20">
        <f t="shared" si="5"/>
        <v>0.24352720450281426</v>
      </c>
      <c r="F35" s="20">
        <f t="shared" si="5"/>
        <v>0.23501044848095162</v>
      </c>
      <c r="G35" s="20">
        <f t="shared" si="5"/>
        <v>0.22736402345946816</v>
      </c>
      <c r="H35" s="20">
        <f t="shared" si="5"/>
        <v>0.28391074574280684</v>
      </c>
      <c r="I35" s="20">
        <f t="shared" si="5"/>
        <v>0.2161605764282038</v>
      </c>
      <c r="J35" s="20">
        <f t="shared" si="5"/>
        <v>0.17115344358383924</v>
      </c>
      <c r="K35" s="20">
        <f t="shared" si="5"/>
        <v>0.14897158482939007</v>
      </c>
      <c r="M35" s="9" t="s">
        <v>98</v>
      </c>
    </row>
    <row r="36" spans="1:13">
      <c r="A36" s="7" t="s">
        <v>99</v>
      </c>
      <c r="B36" s="20">
        <f t="shared" ref="B36:K36" si="6">IF(B6=0,"",B18/B6)</f>
        <v>0.36591464123735318</v>
      </c>
      <c r="C36" s="20">
        <f t="shared" si="6"/>
        <v>0.3178119499153077</v>
      </c>
      <c r="D36" s="20">
        <f t="shared" si="6"/>
        <v>0.42032389664977127</v>
      </c>
      <c r="E36" s="20">
        <f t="shared" si="6"/>
        <v>0.46923048423548591</v>
      </c>
      <c r="F36" s="20">
        <f t="shared" si="6"/>
        <v>0.31661442006269591</v>
      </c>
      <c r="G36" s="20">
        <f t="shared" si="6"/>
        <v>0.29040885622587098</v>
      </c>
      <c r="H36" s="20">
        <f t="shared" si="6"/>
        <v>0.42577495072567639</v>
      </c>
      <c r="I36" s="20">
        <f t="shared" si="6"/>
        <v>0.25407434535799306</v>
      </c>
      <c r="J36" s="20">
        <f t="shared" si="6"/>
        <v>0.24090160590999049</v>
      </c>
      <c r="K36" s="20">
        <f t="shared" si="6"/>
        <v>0.28327174282273254</v>
      </c>
    </row>
    <row r="37" spans="1:13">
      <c r="A37" s="7" t="s">
        <v>100</v>
      </c>
      <c r="B37" s="21">
        <f t="shared" ref="B37:K37" si="7">IFERROR(B18/B19,"")</f>
        <v>1.2780259951259139</v>
      </c>
      <c r="C37" s="21">
        <f t="shared" si="7"/>
        <v>1.7906062874251496</v>
      </c>
      <c r="D37" s="21">
        <f t="shared" si="7"/>
        <v>2.5706940874035991</v>
      </c>
      <c r="E37" s="21">
        <f t="shared" si="7"/>
        <v>1.3606574989256552</v>
      </c>
      <c r="F37" s="21">
        <f t="shared" si="7"/>
        <v>0.97208854667949951</v>
      </c>
      <c r="G37" s="21">
        <f t="shared" si="7"/>
        <v>1.0371262458471762</v>
      </c>
      <c r="H37" s="21">
        <f t="shared" si="7"/>
        <v>1.377536231884058</v>
      </c>
      <c r="I37" s="21">
        <f t="shared" si="7"/>
        <v>0.6112783611131507</v>
      </c>
      <c r="J37" s="21">
        <f t="shared" si="7"/>
        <v>1.2711040255081705</v>
      </c>
      <c r="K37" s="21">
        <f t="shared" si="7"/>
        <v>1.9812095032397408</v>
      </c>
      <c r="M37" s="3" t="s">
        <v>101</v>
      </c>
    </row>
    <row r="39" spans="1:13">
      <c r="A39" s="11" t="s">
        <v>102</v>
      </c>
      <c r="B39" s="4"/>
      <c r="C39" s="4"/>
      <c r="D39" s="4"/>
      <c r="E39" s="4"/>
      <c r="F39" s="4"/>
      <c r="G39" s="4"/>
      <c r="H39" s="4"/>
      <c r="I39" s="4"/>
      <c r="J39" s="4"/>
      <c r="K39" s="4"/>
      <c r="L39" s="4"/>
      <c r="M39" s="4"/>
    </row>
    <row r="40" spans="1:13">
      <c r="A40" s="22" t="s">
        <v>103</v>
      </c>
      <c r="B40" s="23">
        <v>0.22</v>
      </c>
      <c r="C40" s="23">
        <v>0.22</v>
      </c>
      <c r="D40" s="23">
        <v>0.22</v>
      </c>
      <c r="E40" s="23">
        <v>0.22</v>
      </c>
      <c r="F40" s="23">
        <v>0.22</v>
      </c>
      <c r="G40" s="23">
        <v>0.22</v>
      </c>
      <c r="H40" s="23">
        <v>0.22</v>
      </c>
      <c r="I40" s="23">
        <v>0.22</v>
      </c>
      <c r="J40" s="23">
        <v>0.22</v>
      </c>
      <c r="K40" s="23">
        <v>0.22</v>
      </c>
      <c r="M40" s="9" t="s">
        <v>104</v>
      </c>
    </row>
    <row r="41" spans="1:13">
      <c r="A41" s="7" t="s">
        <v>105</v>
      </c>
      <c r="B41" s="17">
        <f t="shared" ref="B41:K41" si="8">B11*(1-B40)</f>
        <v>0</v>
      </c>
      <c r="C41" s="17">
        <f t="shared" si="8"/>
        <v>0</v>
      </c>
      <c r="D41" s="17">
        <f t="shared" si="8"/>
        <v>0</v>
      </c>
      <c r="E41" s="17">
        <f t="shared" si="8"/>
        <v>0</v>
      </c>
      <c r="F41" s="17">
        <f t="shared" si="8"/>
        <v>0</v>
      </c>
      <c r="G41" s="17">
        <f t="shared" si="8"/>
        <v>0</v>
      </c>
      <c r="H41" s="17">
        <f t="shared" si="8"/>
        <v>0</v>
      </c>
      <c r="I41" s="17">
        <f t="shared" si="8"/>
        <v>0</v>
      </c>
      <c r="J41" s="17">
        <f t="shared" si="8"/>
        <v>0</v>
      </c>
      <c r="K41" s="17">
        <f t="shared" si="8"/>
        <v>0</v>
      </c>
    </row>
    <row r="42" spans="1:13">
      <c r="A42" s="8" t="s">
        <v>106</v>
      </c>
      <c r="B42" s="17">
        <f t="shared" ref="B42:K42" si="9">B17+B41-B18</f>
        <v>-932</v>
      </c>
      <c r="C42" s="17">
        <f t="shared" si="9"/>
        <v>5375</v>
      </c>
      <c r="D42" s="17">
        <f t="shared" si="9"/>
        <v>4114</v>
      </c>
      <c r="E42" s="17">
        <f t="shared" si="9"/>
        <v>-498</v>
      </c>
      <c r="F42" s="17">
        <f t="shared" si="9"/>
        <v>2235</v>
      </c>
      <c r="G42" s="17">
        <f t="shared" si="9"/>
        <v>7263</v>
      </c>
      <c r="H42" s="17">
        <f t="shared" si="9"/>
        <v>-4239</v>
      </c>
      <c r="I42" s="17">
        <f t="shared" si="9"/>
        <v>-4047</v>
      </c>
      <c r="J42" s="17">
        <f t="shared" si="9"/>
        <v>13850</v>
      </c>
      <c r="K42" s="17">
        <f t="shared" si="9"/>
        <v>25854</v>
      </c>
    </row>
    <row r="43" spans="1:13">
      <c r="A43" s="6" t="s">
        <v>107</v>
      </c>
      <c r="B43" s="20">
        <f t="shared" ref="B43:K43" si="10">IF(B6=0,"",B42/B6)</f>
        <v>-5.419234794743575E-2</v>
      </c>
      <c r="C43" s="20">
        <f t="shared" si="10"/>
        <v>0.1785180510810721</v>
      </c>
      <c r="D43" s="20">
        <f t="shared" si="10"/>
        <v>0.10171838298924465</v>
      </c>
      <c r="E43" s="20">
        <f t="shared" si="10"/>
        <v>-1.8450594642658663E-2</v>
      </c>
      <c r="F43" s="20">
        <f t="shared" si="10"/>
        <v>7.0062695924764884E-2</v>
      </c>
      <c r="G43" s="20">
        <f t="shared" si="10"/>
        <v>0.16891483324805806</v>
      </c>
      <c r="H43" s="20">
        <f t="shared" si="10"/>
        <v>-9.4942662605267875E-2</v>
      </c>
      <c r="I43" s="20">
        <f t="shared" si="10"/>
        <v>-0.12351217725691266</v>
      </c>
      <c r="J43" s="20">
        <f t="shared" si="10"/>
        <v>0.2092366262293596</v>
      </c>
      <c r="K43" s="20">
        <f t="shared" si="10"/>
        <v>0.26613276786725271</v>
      </c>
    </row>
    <row r="45" spans="1:13">
      <c r="A45" s="7" t="s">
        <v>108</v>
      </c>
      <c r="B45" s="17">
        <f t="shared" ref="B45:K45" si="11">B10*(1-B40)</f>
        <v>2556.06</v>
      </c>
      <c r="C45" s="17">
        <f t="shared" si="11"/>
        <v>10702.380000000001</v>
      </c>
      <c r="D45" s="17">
        <f t="shared" si="11"/>
        <v>16258.32</v>
      </c>
      <c r="E45" s="17">
        <f t="shared" si="11"/>
        <v>2116.14</v>
      </c>
      <c r="F45" s="17">
        <f t="shared" si="11"/>
        <v>3998.28</v>
      </c>
      <c r="G45" s="17">
        <f t="shared" si="11"/>
        <v>9679.8000000000011</v>
      </c>
      <c r="H45" s="17">
        <f t="shared" si="11"/>
        <v>5465.46</v>
      </c>
      <c r="I45" s="17">
        <f t="shared" si="11"/>
        <v>-6029.4000000000005</v>
      </c>
      <c r="J45" s="17">
        <f t="shared" si="11"/>
        <v>18305.04</v>
      </c>
      <c r="K45" s="17">
        <f t="shared" si="11"/>
        <v>36820.68</v>
      </c>
    </row>
    <row r="46" spans="1:13">
      <c r="A46" s="7" t="s">
        <v>109</v>
      </c>
      <c r="B46" s="17">
        <f t="shared" ref="B46:K46" si="12">B45+B19-B18</f>
        <v>1187.0599999999995</v>
      </c>
      <c r="C46" s="17">
        <f t="shared" si="12"/>
        <v>6477.380000000001</v>
      </c>
      <c r="D46" s="17">
        <f t="shared" si="12"/>
        <v>5871.32</v>
      </c>
      <c r="E46" s="17">
        <f t="shared" si="12"/>
        <v>-1240.8600000000006</v>
      </c>
      <c r="F46" s="17">
        <f t="shared" si="12"/>
        <v>4288.2800000000007</v>
      </c>
      <c r="G46" s="17">
        <f t="shared" si="12"/>
        <v>9232.8000000000029</v>
      </c>
      <c r="H46" s="17">
        <f t="shared" si="12"/>
        <v>255.45999999999913</v>
      </c>
      <c r="I46" s="17">
        <f t="shared" si="12"/>
        <v>-735.40000000000055</v>
      </c>
      <c r="J46" s="17">
        <f t="shared" si="12"/>
        <v>14904.04</v>
      </c>
      <c r="K46" s="17">
        <f t="shared" si="12"/>
        <v>23191.68</v>
      </c>
      <c r="M46" s="9" t="s">
        <v>110</v>
      </c>
    </row>
    <row r="48" spans="1:13">
      <c r="A48" s="8" t="s">
        <v>111</v>
      </c>
      <c r="B48" s="24" t="s">
        <v>112</v>
      </c>
      <c r="C48" s="24" t="s">
        <v>112</v>
      </c>
      <c r="D48" s="24" t="s">
        <v>112</v>
      </c>
      <c r="E48" s="24" t="s">
        <v>112</v>
      </c>
      <c r="F48" s="24" t="s">
        <v>112</v>
      </c>
      <c r="G48" s="24" t="s">
        <v>112</v>
      </c>
      <c r="H48" s="24" t="s">
        <v>112</v>
      </c>
      <c r="I48" s="24" t="s">
        <v>113</v>
      </c>
      <c r="J48" s="24" t="s">
        <v>113</v>
      </c>
      <c r="K48" s="24" t="s">
        <v>113</v>
      </c>
      <c r="M48" s="3" t="s">
        <v>114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showGridLines="0" zoomScaleNormal="100" workbookViewId="0">
      <selection activeCell="C29" sqref="C29"/>
    </sheetView>
  </sheetViews>
  <sheetFormatPr defaultColWidth="8.6328125" defaultRowHeight="14.5"/>
  <cols>
    <col min="1" max="1" width="46" customWidth="1"/>
    <col min="2" max="11" width="15.54296875" customWidth="1"/>
  </cols>
  <sheetData>
    <row r="1" spans="1:11" ht="18">
      <c r="A1" s="25" t="s">
        <v>123</v>
      </c>
    </row>
    <row r="2" spans="1:11">
      <c r="A2" s="9" t="s">
        <v>124</v>
      </c>
    </row>
    <row r="4" spans="1:11">
      <c r="A4" s="26" t="s">
        <v>125</v>
      </c>
    </row>
    <row r="5" spans="1:11">
      <c r="A5" s="9" t="s">
        <v>126</v>
      </c>
    </row>
    <row r="6" spans="1:11" ht="39">
      <c r="A6" s="27" t="s">
        <v>127</v>
      </c>
      <c r="B6" s="48" t="s">
        <v>128</v>
      </c>
      <c r="C6" s="48" t="s">
        <v>129</v>
      </c>
      <c r="D6" s="48" t="s">
        <v>130</v>
      </c>
      <c r="E6" s="48" t="s">
        <v>131</v>
      </c>
      <c r="F6" s="48" t="s">
        <v>132</v>
      </c>
      <c r="G6" s="48" t="s">
        <v>133</v>
      </c>
      <c r="H6" s="48" t="s">
        <v>134</v>
      </c>
      <c r="I6" s="48" t="s">
        <v>135</v>
      </c>
      <c r="J6" s="48" t="s">
        <v>136</v>
      </c>
      <c r="K6" s="48" t="s">
        <v>65</v>
      </c>
    </row>
    <row r="7" spans="1:11">
      <c r="A7" s="6" t="s">
        <v>137</v>
      </c>
      <c r="B7" s="16">
        <v>44062</v>
      </c>
      <c r="C7" s="16">
        <v>21638</v>
      </c>
      <c r="D7" s="16">
        <v>18775</v>
      </c>
      <c r="E7" s="16">
        <v>27414</v>
      </c>
      <c r="F7" s="16">
        <v>1227</v>
      </c>
      <c r="G7" s="16"/>
      <c r="H7" s="16"/>
      <c r="I7" s="16"/>
      <c r="J7" s="16"/>
      <c r="K7" s="24" t="s">
        <v>113</v>
      </c>
    </row>
    <row r="8" spans="1:11">
      <c r="A8" s="6" t="s">
        <v>138</v>
      </c>
      <c r="B8" s="16">
        <v>46743</v>
      </c>
      <c r="C8" s="16">
        <v>28442</v>
      </c>
      <c r="D8" s="16">
        <v>26422</v>
      </c>
      <c r="E8" s="16">
        <v>15359</v>
      </c>
      <c r="F8" s="16">
        <v>1470</v>
      </c>
      <c r="G8" s="16"/>
      <c r="H8" s="16"/>
      <c r="I8" s="16"/>
      <c r="J8" s="16"/>
      <c r="K8" s="24" t="s">
        <v>112</v>
      </c>
    </row>
    <row r="9" spans="1:11">
      <c r="A9" s="6" t="s">
        <v>139</v>
      </c>
      <c r="B9" s="16">
        <v>57006</v>
      </c>
      <c r="C9" s="16">
        <v>36010</v>
      </c>
      <c r="D9" s="16">
        <v>31910</v>
      </c>
      <c r="E9" s="16">
        <v>23750</v>
      </c>
      <c r="F9" s="16">
        <v>1637</v>
      </c>
      <c r="G9" s="16"/>
      <c r="H9" s="16"/>
      <c r="I9" s="16"/>
      <c r="J9" s="16"/>
      <c r="K9" s="24" t="s">
        <v>113</v>
      </c>
    </row>
    <row r="10" spans="1:11">
      <c r="A10" s="6" t="s">
        <v>140</v>
      </c>
      <c r="B10" s="16">
        <v>68127</v>
      </c>
      <c r="C10" s="16">
        <v>44299</v>
      </c>
      <c r="D10" s="16">
        <v>42960</v>
      </c>
      <c r="E10" s="16">
        <v>36190</v>
      </c>
      <c r="F10" s="16">
        <v>1284</v>
      </c>
      <c r="G10" s="16">
        <v>206803</v>
      </c>
      <c r="H10" s="16">
        <v>62556</v>
      </c>
      <c r="I10" s="16">
        <v>8468</v>
      </c>
      <c r="J10" s="16">
        <v>157293</v>
      </c>
      <c r="K10" s="24" t="s">
        <v>113</v>
      </c>
    </row>
    <row r="11" spans="1:11">
      <c r="A11" s="6" t="s">
        <v>141</v>
      </c>
      <c r="B11" s="16">
        <v>81615</v>
      </c>
      <c r="C11" s="16">
        <v>53536</v>
      </c>
      <c r="D11" s="16">
        <v>58321</v>
      </c>
      <c r="E11" s="16">
        <v>50344</v>
      </c>
      <c r="F11" s="16">
        <v>1757</v>
      </c>
      <c r="G11" s="16">
        <v>259474</v>
      </c>
      <c r="H11" s="16">
        <v>80572</v>
      </c>
      <c r="I11" s="16">
        <v>8470</v>
      </c>
      <c r="J11" s="16">
        <v>195474</v>
      </c>
      <c r="K11" s="24" t="s">
        <v>113</v>
      </c>
    </row>
    <row r="13" spans="1:11">
      <c r="A13" s="8" t="s">
        <v>142</v>
      </c>
    </row>
    <row r="14" spans="1:11">
      <c r="A14" s="6" t="s">
        <v>137</v>
      </c>
      <c r="B14" s="20">
        <f>IF(B7=0,"",C7/B7)</f>
        <v>0.49108074985248057</v>
      </c>
    </row>
    <row r="15" spans="1:11">
      <c r="A15" s="6" t="s">
        <v>138</v>
      </c>
      <c r="B15" s="20">
        <f>IF(B8=0,"",C8/B8)</f>
        <v>0.6084761354641337</v>
      </c>
    </row>
    <row r="16" spans="1:11">
      <c r="A16" s="6" t="s">
        <v>139</v>
      </c>
      <c r="B16" s="20">
        <f>IF(B9=0,"",C9/B9)</f>
        <v>0.63168789250254365</v>
      </c>
    </row>
    <row r="17" spans="1:11">
      <c r="A17" s="6" t="s">
        <v>140</v>
      </c>
      <c r="B17" s="20">
        <f>IF(B10=0,"",C10/B10)</f>
        <v>0.65024146080115075</v>
      </c>
    </row>
    <row r="18" spans="1:11">
      <c r="A18" s="6" t="s">
        <v>141</v>
      </c>
      <c r="B18" s="20">
        <f>IF(B11=0,"",C11/B11)</f>
        <v>0.65595785088525393</v>
      </c>
    </row>
    <row r="21" spans="1:11">
      <c r="A21" s="26" t="s">
        <v>143</v>
      </c>
    </row>
    <row r="22" spans="1:11">
      <c r="A22" s="9" t="s">
        <v>144</v>
      </c>
    </row>
    <row r="23" spans="1:11">
      <c r="A23" s="27" t="s">
        <v>127</v>
      </c>
      <c r="B23" s="15" t="s">
        <v>128</v>
      </c>
      <c r="C23" s="15" t="s">
        <v>129</v>
      </c>
      <c r="D23" s="15" t="s">
        <v>130</v>
      </c>
      <c r="E23" s="15" t="s">
        <v>131</v>
      </c>
      <c r="F23" s="15" t="s">
        <v>132</v>
      </c>
      <c r="G23" s="15" t="s">
        <v>133</v>
      </c>
      <c r="H23" s="15" t="s">
        <v>145</v>
      </c>
      <c r="I23" s="15" t="s">
        <v>146</v>
      </c>
      <c r="J23" s="15" t="s">
        <v>136</v>
      </c>
      <c r="K23" s="15" t="s">
        <v>65</v>
      </c>
    </row>
    <row r="24" spans="1:11">
      <c r="A24" s="6" t="s">
        <v>147</v>
      </c>
      <c r="B24" s="16">
        <v>17639</v>
      </c>
      <c r="C24" s="16">
        <v>7441</v>
      </c>
      <c r="D24" s="16">
        <v>8108</v>
      </c>
      <c r="E24" s="16">
        <v>9024</v>
      </c>
      <c r="F24" s="16">
        <v>6284</v>
      </c>
      <c r="G24" s="16"/>
      <c r="H24" s="16"/>
      <c r="I24" s="16"/>
      <c r="J24" s="16"/>
      <c r="K24" s="24" t="s">
        <v>113</v>
      </c>
    </row>
    <row r="25" spans="1:11">
      <c r="A25" s="6" t="s">
        <v>148</v>
      </c>
      <c r="B25" s="16">
        <v>22232</v>
      </c>
      <c r="C25" s="16">
        <v>9213</v>
      </c>
      <c r="D25" s="16">
        <v>6995</v>
      </c>
      <c r="E25" s="16"/>
      <c r="F25" s="16"/>
      <c r="G25" s="16"/>
      <c r="H25" s="16"/>
      <c r="I25" s="16"/>
      <c r="J25" s="16"/>
      <c r="K25" s="24" t="s">
        <v>149</v>
      </c>
    </row>
    <row r="26" spans="1:11">
      <c r="A26" s="6" t="s">
        <v>150</v>
      </c>
      <c r="B26" s="16">
        <v>24449</v>
      </c>
      <c r="C26" s="16">
        <v>11383</v>
      </c>
      <c r="D26" s="16">
        <v>12598</v>
      </c>
      <c r="E26" s="16"/>
      <c r="F26" s="16"/>
      <c r="G26" s="16"/>
      <c r="H26" s="16"/>
      <c r="I26" s="16"/>
      <c r="J26" s="16"/>
      <c r="K26" s="24" t="s">
        <v>149</v>
      </c>
    </row>
    <row r="27" spans="1:11">
      <c r="A27" s="6" t="s">
        <v>151</v>
      </c>
      <c r="B27" s="16">
        <v>32827</v>
      </c>
      <c r="C27" s="16">
        <v>19170</v>
      </c>
      <c r="D27" s="16">
        <v>15246</v>
      </c>
      <c r="E27" s="16"/>
      <c r="F27" s="16"/>
      <c r="G27" s="16">
        <v>176108</v>
      </c>
      <c r="H27" s="16">
        <v>14924</v>
      </c>
      <c r="I27" s="16">
        <v>22248</v>
      </c>
      <c r="J27" s="16">
        <v>120667</v>
      </c>
      <c r="K27" s="24" t="s">
        <v>149</v>
      </c>
    </row>
    <row r="28" spans="1:11">
      <c r="A28" s="6" t="s">
        <v>152</v>
      </c>
      <c r="B28" s="16">
        <v>52576</v>
      </c>
      <c r="C28" s="16">
        <v>37610</v>
      </c>
      <c r="D28" s="16">
        <v>40346</v>
      </c>
      <c r="E28" s="16">
        <v>26330</v>
      </c>
      <c r="F28" s="16">
        <v>7657</v>
      </c>
      <c r="G28" s="16">
        <v>222829</v>
      </c>
      <c r="H28" s="16">
        <v>21167</v>
      </c>
      <c r="I28" s="16">
        <v>19318</v>
      </c>
      <c r="J28" s="16">
        <v>164380</v>
      </c>
      <c r="K28" s="24" t="s">
        <v>113</v>
      </c>
    </row>
    <row r="29" spans="1:11">
      <c r="A29" s="6" t="s">
        <v>153</v>
      </c>
      <c r="B29" s="16">
        <v>79319</v>
      </c>
      <c r="C29" s="16">
        <v>60543</v>
      </c>
      <c r="D29" s="16">
        <v>93923</v>
      </c>
      <c r="E29" s="16"/>
      <c r="F29" s="16"/>
      <c r="G29" s="16"/>
      <c r="H29" s="16">
        <v>88000</v>
      </c>
      <c r="I29" s="16">
        <v>18600</v>
      </c>
      <c r="J29" s="16"/>
      <c r="K29" s="24" t="s">
        <v>149</v>
      </c>
    </row>
    <row r="31" spans="1:11">
      <c r="A31" s="8" t="s">
        <v>142</v>
      </c>
    </row>
    <row r="32" spans="1:11">
      <c r="A32" s="6" t="s">
        <v>147</v>
      </c>
      <c r="B32" s="20">
        <f t="shared" ref="B32:B37" si="0">IF(B24=0,"",C24/B24)</f>
        <v>0.42184931118544133</v>
      </c>
    </row>
    <row r="33" spans="1:2">
      <c r="A33" s="6" t="s">
        <v>148</v>
      </c>
      <c r="B33" s="20">
        <f t="shared" si="0"/>
        <v>0.41440266282835553</v>
      </c>
    </row>
    <row r="34" spans="1:2">
      <c r="A34" s="6" t="s">
        <v>150</v>
      </c>
      <c r="B34" s="20">
        <f t="shared" si="0"/>
        <v>0.465581414372776</v>
      </c>
    </row>
    <row r="35" spans="1:2">
      <c r="A35" s="6" t="s">
        <v>151</v>
      </c>
      <c r="B35" s="20">
        <f t="shared" si="0"/>
        <v>0.58397051207847195</v>
      </c>
    </row>
    <row r="36" spans="1:2">
      <c r="A36" s="6" t="s">
        <v>152</v>
      </c>
      <c r="B36" s="20">
        <f t="shared" si="0"/>
        <v>0.71534540474741326</v>
      </c>
    </row>
    <row r="37" spans="1:2">
      <c r="A37" s="6" t="s">
        <v>153</v>
      </c>
      <c r="B37" s="20">
        <f t="shared" si="0"/>
        <v>0.76328496324966277</v>
      </c>
    </row>
    <row r="39" spans="1:2">
      <c r="A39" s="9" t="s">
        <v>154</v>
      </c>
    </row>
    <row r="43" spans="1:2">
      <c r="A43" t="s">
        <v>258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showGridLines="0" zoomScaleNormal="100" workbookViewId="0">
      <selection activeCell="A16" sqref="A16:D16"/>
    </sheetView>
  </sheetViews>
  <sheetFormatPr defaultColWidth="8.6328125" defaultRowHeight="14.5"/>
  <cols>
    <col min="1" max="1" width="42" customWidth="1"/>
    <col min="2" max="2" width="12" customWidth="1"/>
    <col min="3" max="3" width="14" customWidth="1"/>
    <col min="4" max="4" width="76" customWidth="1"/>
  </cols>
  <sheetData>
    <row r="1" spans="1:4" ht="18">
      <c r="A1" s="25" t="s">
        <v>155</v>
      </c>
    </row>
    <row r="2" spans="1:4">
      <c r="A2" s="3" t="s">
        <v>259</v>
      </c>
    </row>
    <row r="4" spans="1:4">
      <c r="A4" s="11" t="s">
        <v>161</v>
      </c>
      <c r="B4" s="4"/>
      <c r="C4" s="4"/>
      <c r="D4" s="4"/>
    </row>
    <row r="5" spans="1:4">
      <c r="A5" s="13" t="s">
        <v>156</v>
      </c>
      <c r="B5" s="13" t="s">
        <v>157</v>
      </c>
      <c r="C5" s="13" t="s">
        <v>158</v>
      </c>
      <c r="D5" s="13" t="s">
        <v>159</v>
      </c>
    </row>
    <row r="6" spans="1:4">
      <c r="A6" s="6" t="s">
        <v>162</v>
      </c>
      <c r="B6" s="28" t="s">
        <v>163</v>
      </c>
      <c r="C6" s="29">
        <v>84</v>
      </c>
      <c r="D6" s="9" t="s">
        <v>164</v>
      </c>
    </row>
    <row r="7" spans="1:4">
      <c r="A7" s="6" t="s">
        <v>165</v>
      </c>
      <c r="B7" s="28" t="s">
        <v>163</v>
      </c>
      <c r="C7" s="29">
        <v>64.099999999999994</v>
      </c>
      <c r="D7" s="9" t="s">
        <v>166</v>
      </c>
    </row>
    <row r="8" spans="1:4">
      <c r="A8" s="6" t="s">
        <v>167</v>
      </c>
      <c r="B8" s="28" t="s">
        <v>163</v>
      </c>
      <c r="C8" s="29">
        <v>99</v>
      </c>
      <c r="D8" s="3" t="s">
        <v>168</v>
      </c>
    </row>
    <row r="9" spans="1:4">
      <c r="A9" s="6" t="s">
        <v>169</v>
      </c>
      <c r="B9" s="28" t="s">
        <v>163</v>
      </c>
      <c r="C9" s="29">
        <v>128</v>
      </c>
      <c r="D9" s="3" t="s">
        <v>168</v>
      </c>
    </row>
    <row r="10" spans="1:4">
      <c r="A10" s="6" t="s">
        <v>170</v>
      </c>
      <c r="B10" s="28" t="s">
        <v>163</v>
      </c>
      <c r="C10" s="29">
        <v>45</v>
      </c>
      <c r="D10" s="9" t="s">
        <v>171</v>
      </c>
    </row>
    <row r="11" spans="1:4">
      <c r="A11" s="6" t="s">
        <v>160</v>
      </c>
      <c r="B11" s="28" t="s">
        <v>172</v>
      </c>
      <c r="C11" s="16">
        <v>3189340</v>
      </c>
      <c r="D11" s="9" t="s">
        <v>173</v>
      </c>
    </row>
    <row r="13" spans="1:4">
      <c r="A13" s="26" t="s">
        <v>174</v>
      </c>
    </row>
    <row r="14" spans="1:4" ht="30" customHeight="1">
      <c r="A14" s="51" t="s">
        <v>260</v>
      </c>
      <c r="B14" s="51"/>
      <c r="C14" s="51"/>
      <c r="D14" s="51"/>
    </row>
    <row r="15" spans="1:4" ht="30" customHeight="1">
      <c r="A15" s="51" t="s">
        <v>175</v>
      </c>
      <c r="B15" s="51"/>
      <c r="C15" s="51"/>
      <c r="D15" s="51"/>
    </row>
    <row r="16" spans="1:4" ht="30" customHeight="1">
      <c r="A16" s="51" t="s">
        <v>176</v>
      </c>
      <c r="B16" s="51"/>
      <c r="C16" s="51"/>
      <c r="D16" s="51"/>
    </row>
  </sheetData>
  <mergeCells count="3">
    <mergeCell ref="A14:D14"/>
    <mergeCell ref="A15:D15"/>
    <mergeCell ref="A16:D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2"/>
  <sheetViews>
    <sheetView showGridLines="0" topLeftCell="A12" zoomScaleNormal="100" workbookViewId="0">
      <selection sqref="A1:XFD1048576"/>
    </sheetView>
  </sheetViews>
  <sheetFormatPr defaultColWidth="8.6328125" defaultRowHeight="14.5"/>
  <cols>
    <col min="1" max="1" width="54" customWidth="1"/>
    <col min="2" max="2" width="13" customWidth="1"/>
    <col min="3" max="3" width="16.453125" customWidth="1"/>
    <col min="4" max="11" width="13" customWidth="1"/>
    <col min="12" max="12" width="60" customWidth="1"/>
  </cols>
  <sheetData>
    <row r="1" spans="1:12" ht="18">
      <c r="A1" s="2" t="s">
        <v>249</v>
      </c>
    </row>
    <row r="2" spans="1:12">
      <c r="A2" s="9" t="s">
        <v>250</v>
      </c>
    </row>
    <row r="4" spans="1:12">
      <c r="A4" s="11" t="s">
        <v>177</v>
      </c>
      <c r="B4" s="4"/>
      <c r="C4" s="4"/>
      <c r="D4" s="4"/>
      <c r="E4" s="4"/>
      <c r="F4" s="4"/>
      <c r="G4" s="4"/>
      <c r="H4" s="4"/>
      <c r="I4" s="4"/>
      <c r="J4" s="4"/>
      <c r="K4" s="4"/>
      <c r="L4" s="4"/>
    </row>
    <row r="5" spans="1:12">
      <c r="A5" s="7" t="s">
        <v>178</v>
      </c>
      <c r="B5" s="44">
        <v>1577000</v>
      </c>
      <c r="L5" s="9" t="s">
        <v>251</v>
      </c>
    </row>
    <row r="6" spans="1:12">
      <c r="A6" s="7" t="s">
        <v>179</v>
      </c>
      <c r="B6" s="18">
        <v>730.49</v>
      </c>
    </row>
    <row r="7" spans="1:12">
      <c r="A7" s="7" t="s">
        <v>180</v>
      </c>
      <c r="B7" s="16">
        <v>1000</v>
      </c>
      <c r="L7" s="9" t="s">
        <v>252</v>
      </c>
    </row>
    <row r="8" spans="1:12">
      <c r="A8" s="8" t="s">
        <v>181</v>
      </c>
      <c r="B8" s="17">
        <f>B5*B6/B7</f>
        <v>1151982.73</v>
      </c>
      <c r="L8" s="9" t="s">
        <v>182</v>
      </c>
    </row>
    <row r="9" spans="1:12">
      <c r="A9" s="7" t="s">
        <v>183</v>
      </c>
      <c r="B9" s="16">
        <v>18600</v>
      </c>
    </row>
    <row r="10" spans="1:12">
      <c r="A10" s="7" t="s">
        <v>86</v>
      </c>
      <c r="B10" s="16">
        <v>88000</v>
      </c>
    </row>
    <row r="11" spans="1:12">
      <c r="A11" s="7" t="s">
        <v>184</v>
      </c>
      <c r="B11" s="16">
        <v>20658</v>
      </c>
      <c r="L11" s="9" t="s">
        <v>185</v>
      </c>
    </row>
    <row r="12" spans="1:12">
      <c r="A12" s="7" t="s">
        <v>186</v>
      </c>
      <c r="B12" s="16">
        <v>1988</v>
      </c>
      <c r="L12" s="9" t="s">
        <v>187</v>
      </c>
    </row>
    <row r="14" spans="1:12">
      <c r="A14" s="11" t="s">
        <v>188</v>
      </c>
      <c r="B14" s="4"/>
      <c r="C14" s="4"/>
      <c r="D14" s="4"/>
      <c r="E14" s="4"/>
      <c r="F14" s="4"/>
      <c r="G14" s="4"/>
      <c r="H14" s="4"/>
      <c r="I14" s="4"/>
      <c r="J14" s="4"/>
      <c r="K14" s="4"/>
      <c r="L14" s="4"/>
    </row>
    <row r="15" spans="1:12">
      <c r="A15" s="22" t="s">
        <v>189</v>
      </c>
      <c r="B15" s="23">
        <v>0.03</v>
      </c>
      <c r="L15" s="9" t="s">
        <v>253</v>
      </c>
    </row>
    <row r="16" spans="1:12">
      <c r="A16" s="22" t="s">
        <v>190</v>
      </c>
      <c r="B16" s="23">
        <v>0.06</v>
      </c>
      <c r="L16" s="9" t="s">
        <v>254</v>
      </c>
    </row>
    <row r="17" spans="1:12">
      <c r="A17" s="22" t="s">
        <v>191</v>
      </c>
      <c r="B17" s="30">
        <v>1.76</v>
      </c>
      <c r="L17" s="3" t="s">
        <v>255</v>
      </c>
    </row>
    <row r="18" spans="1:12">
      <c r="A18" s="8" t="s">
        <v>192</v>
      </c>
      <c r="B18" s="20">
        <f>B15+B17*B16</f>
        <v>0.1356</v>
      </c>
      <c r="L18" s="3" t="s">
        <v>193</v>
      </c>
    </row>
    <row r="19" spans="1:12">
      <c r="A19" s="7" t="s">
        <v>194</v>
      </c>
      <c r="B19" s="31">
        <v>4.4999999999999998E-2</v>
      </c>
      <c r="L19" s="3" t="s">
        <v>256</v>
      </c>
    </row>
    <row r="20" spans="1:12">
      <c r="A20" s="22" t="s">
        <v>195</v>
      </c>
      <c r="B20" s="23">
        <v>0.22</v>
      </c>
      <c r="L20" s="9" t="s">
        <v>257</v>
      </c>
    </row>
    <row r="21" spans="1:12">
      <c r="A21" s="7" t="s">
        <v>196</v>
      </c>
      <c r="B21" s="20">
        <f>B19*(1-B20)</f>
        <v>3.5099999999999999E-2</v>
      </c>
    </row>
    <row r="22" spans="1:12">
      <c r="A22" s="7" t="s">
        <v>197</v>
      </c>
      <c r="B22" s="20">
        <f>B8/(B8+B9)</f>
        <v>0.98411047803515772</v>
      </c>
    </row>
    <row r="23" spans="1:12">
      <c r="A23" s="7" t="s">
        <v>198</v>
      </c>
      <c r="B23" s="20">
        <f>B9/(B8+B9)</f>
        <v>1.5889521964842244E-2</v>
      </c>
    </row>
    <row r="24" spans="1:12">
      <c r="A24" s="32" t="s">
        <v>199</v>
      </c>
      <c r="B24" s="33">
        <f>B22*B18+B23*B21</f>
        <v>0.13400310304253332</v>
      </c>
      <c r="L24" s="9" t="s">
        <v>200</v>
      </c>
    </row>
    <row r="26" spans="1:12">
      <c r="A26" s="11" t="s">
        <v>201</v>
      </c>
      <c r="B26" s="4"/>
      <c r="C26" s="4"/>
      <c r="D26" s="4"/>
      <c r="E26" s="4"/>
      <c r="F26" s="4"/>
      <c r="G26" s="4"/>
      <c r="H26" s="4"/>
      <c r="I26" s="4"/>
      <c r="J26" s="4"/>
      <c r="K26" s="4"/>
      <c r="L26" s="4"/>
    </row>
    <row r="27" spans="1:12" ht="26">
      <c r="A27" s="13" t="s">
        <v>202</v>
      </c>
      <c r="C27" s="48" t="s">
        <v>203</v>
      </c>
      <c r="D27" s="14" t="s">
        <v>204</v>
      </c>
      <c r="E27" s="14" t="s">
        <v>205</v>
      </c>
      <c r="F27" s="14" t="s">
        <v>206</v>
      </c>
      <c r="G27" s="14" t="s">
        <v>207</v>
      </c>
      <c r="H27" s="14" t="s">
        <v>208</v>
      </c>
      <c r="I27" s="48" t="s">
        <v>209</v>
      </c>
    </row>
    <row r="28" spans="1:12">
      <c r="A28" s="34" t="s">
        <v>94</v>
      </c>
      <c r="C28" s="6"/>
      <c r="D28" s="23">
        <v>1.85</v>
      </c>
      <c r="E28" s="23">
        <v>0.15</v>
      </c>
      <c r="F28" s="23">
        <v>-0.25</v>
      </c>
      <c r="G28" s="23">
        <v>0.05</v>
      </c>
      <c r="H28" s="23">
        <v>0.05</v>
      </c>
      <c r="L28" s="49" t="s">
        <v>261</v>
      </c>
    </row>
    <row r="29" spans="1:12">
      <c r="A29" s="8" t="s">
        <v>68</v>
      </c>
      <c r="C29" s="35">
        <f>Raw_SKhynix!K6</f>
        <v>97147</v>
      </c>
      <c r="D29" s="17">
        <f>C29*(1+D28)</f>
        <v>276868.95</v>
      </c>
      <c r="E29" s="17">
        <f>D29*(1+E28)</f>
        <v>318399.29249999998</v>
      </c>
      <c r="F29" s="17">
        <f>E29*(1+F28)</f>
        <v>238799.46937499999</v>
      </c>
      <c r="G29" s="17">
        <f>F29*(1+G28)</f>
        <v>250739.44284375</v>
      </c>
      <c r="H29" s="17">
        <f>G29*(1+H28)</f>
        <v>263276.41498593753</v>
      </c>
    </row>
    <row r="30" spans="1:12">
      <c r="A30" s="34" t="s">
        <v>95</v>
      </c>
      <c r="C30" s="36">
        <f>IFERROR(Raw_SKhynix!K10/Raw_SKhynix!K6,"")</f>
        <v>0.48592339444347227</v>
      </c>
      <c r="D30" s="23">
        <v>0.72</v>
      </c>
      <c r="E30" s="23">
        <v>0.62</v>
      </c>
      <c r="F30" s="23">
        <v>0.35</v>
      </c>
      <c r="G30" s="23">
        <v>0.35</v>
      </c>
      <c r="H30" s="23">
        <v>0.34</v>
      </c>
    </row>
    <row r="31" spans="1:12">
      <c r="A31" s="8" t="s">
        <v>210</v>
      </c>
      <c r="C31" s="17">
        <f t="shared" ref="C31:H31" si="0">C29*C30</f>
        <v>47206</v>
      </c>
      <c r="D31" s="17">
        <f t="shared" si="0"/>
        <v>199345.644</v>
      </c>
      <c r="E31" s="17">
        <f t="shared" si="0"/>
        <v>197407.56134999997</v>
      </c>
      <c r="F31" s="17">
        <f t="shared" si="0"/>
        <v>83579.814281249986</v>
      </c>
      <c r="G31" s="17">
        <f t="shared" si="0"/>
        <v>87758.804995312501</v>
      </c>
      <c r="H31" s="17">
        <f t="shared" si="0"/>
        <v>89513.981095218769</v>
      </c>
    </row>
    <row r="32" spans="1:12">
      <c r="A32" s="7" t="s">
        <v>211</v>
      </c>
      <c r="C32" s="17">
        <f>-C31*B20</f>
        <v>-10385.32</v>
      </c>
      <c r="D32" s="17">
        <f>-D31*B20</f>
        <v>-43856.041680000002</v>
      </c>
      <c r="E32" s="17">
        <f>-E31*B20</f>
        <v>-43429.663496999994</v>
      </c>
      <c r="F32" s="17">
        <f>-F31*B20</f>
        <v>-18387.559141874997</v>
      </c>
      <c r="G32" s="17">
        <f>-G31*B20</f>
        <v>-19306.937098968749</v>
      </c>
      <c r="H32" s="17">
        <f>-H31*B20</f>
        <v>-19693.075840948128</v>
      </c>
    </row>
    <row r="33" spans="1:12">
      <c r="A33" s="8" t="s">
        <v>212</v>
      </c>
      <c r="C33" s="17">
        <f t="shared" ref="C33:H33" si="1">C31+C32</f>
        <v>36820.68</v>
      </c>
      <c r="D33" s="17">
        <f t="shared" si="1"/>
        <v>155489.60232000001</v>
      </c>
      <c r="E33" s="17">
        <f t="shared" si="1"/>
        <v>153977.89785299997</v>
      </c>
      <c r="F33" s="17">
        <f t="shared" si="1"/>
        <v>65192.255139374989</v>
      </c>
      <c r="G33" s="17">
        <f t="shared" si="1"/>
        <v>68451.867896343756</v>
      </c>
      <c r="H33" s="17">
        <f t="shared" si="1"/>
        <v>69820.905254270649</v>
      </c>
    </row>
    <row r="34" spans="1:12">
      <c r="A34" s="34" t="s">
        <v>213</v>
      </c>
      <c r="C34" s="36">
        <f>IFERROR(Raw_SKhynix!K19/Raw_SKhynix!K6,"")</f>
        <v>0.14297919647544444</v>
      </c>
      <c r="D34" s="23">
        <v>0.13</v>
      </c>
      <c r="E34" s="23">
        <v>0.13</v>
      </c>
      <c r="F34" s="23">
        <v>0.13</v>
      </c>
      <c r="G34" s="23">
        <v>0.13</v>
      </c>
      <c r="H34" s="23">
        <v>0.13</v>
      </c>
    </row>
    <row r="35" spans="1:12">
      <c r="A35" s="7" t="s">
        <v>214</v>
      </c>
      <c r="C35" s="17">
        <f t="shared" ref="C35:H35" si="2">C29*C34</f>
        <v>13890</v>
      </c>
      <c r="D35" s="17">
        <f t="shared" si="2"/>
        <v>35992.963500000005</v>
      </c>
      <c r="E35" s="17">
        <f t="shared" si="2"/>
        <v>41391.908024999997</v>
      </c>
      <c r="F35" s="17">
        <f t="shared" si="2"/>
        <v>31043.931018749998</v>
      </c>
      <c r="G35" s="17">
        <f t="shared" si="2"/>
        <v>32596.127569687502</v>
      </c>
      <c r="H35" s="17">
        <f t="shared" si="2"/>
        <v>34225.933948171878</v>
      </c>
    </row>
    <row r="36" spans="1:12">
      <c r="A36" s="34" t="s">
        <v>215</v>
      </c>
      <c r="C36" s="36">
        <f>IFERROR(Raw_SKhynix!K18/Raw_SKhynix!K6,"")</f>
        <v>0.28327174282273254</v>
      </c>
      <c r="D36" s="23">
        <v>0.3</v>
      </c>
      <c r="E36" s="23">
        <v>0.28000000000000003</v>
      </c>
      <c r="F36" s="23">
        <v>0.26</v>
      </c>
      <c r="G36" s="23">
        <v>0.24</v>
      </c>
      <c r="H36" s="23">
        <v>0.22</v>
      </c>
      <c r="L36" s="9" t="s">
        <v>216</v>
      </c>
    </row>
    <row r="37" spans="1:12">
      <c r="A37" s="7" t="s">
        <v>217</v>
      </c>
      <c r="C37" s="17">
        <f t="shared" ref="C37:H37" si="3">-C29*C36</f>
        <v>-27519</v>
      </c>
      <c r="D37" s="17">
        <f t="shared" si="3"/>
        <v>-83060.684999999998</v>
      </c>
      <c r="E37" s="17">
        <f t="shared" si="3"/>
        <v>-89151.801900000006</v>
      </c>
      <c r="F37" s="17">
        <f t="shared" si="3"/>
        <v>-62087.862037499995</v>
      </c>
      <c r="G37" s="17">
        <f t="shared" si="3"/>
        <v>-60177.466282499998</v>
      </c>
      <c r="H37" s="17">
        <f t="shared" si="3"/>
        <v>-57920.811296906257</v>
      </c>
    </row>
    <row r="38" spans="1:12">
      <c r="A38" s="34" t="s">
        <v>218</v>
      </c>
      <c r="C38" s="6"/>
      <c r="D38" s="23">
        <v>0.15</v>
      </c>
      <c r="E38" s="23">
        <v>0.15</v>
      </c>
      <c r="F38" s="23">
        <v>0.15</v>
      </c>
      <c r="G38" s="23">
        <v>0.15</v>
      </c>
      <c r="H38" s="23">
        <v>0.15</v>
      </c>
      <c r="L38" s="9" t="s">
        <v>219</v>
      </c>
    </row>
    <row r="39" spans="1:12">
      <c r="A39" s="7" t="s">
        <v>220</v>
      </c>
      <c r="C39" s="37"/>
      <c r="D39" s="17">
        <f>-(D29-C29)*D38</f>
        <v>-26958.2925</v>
      </c>
      <c r="E39" s="17">
        <f>-(E29-D29)*E38</f>
        <v>-6229.5513749999955</v>
      </c>
      <c r="F39" s="17">
        <f>-(F29-E29)*F38</f>
        <v>11939.973468749999</v>
      </c>
      <c r="G39" s="17">
        <f>-(G29-F29)*G38</f>
        <v>-1790.9960203125024</v>
      </c>
      <c r="H39" s="17">
        <f>-(H29-G29)*H38</f>
        <v>-1880.5458213281293</v>
      </c>
    </row>
    <row r="40" spans="1:12">
      <c r="A40" s="32" t="s">
        <v>106</v>
      </c>
      <c r="C40" s="38">
        <f>Raw_SKhynix!K42</f>
        <v>25854</v>
      </c>
      <c r="D40" s="39">
        <f>D33+D35+D37+D39</f>
        <v>81463.588320000024</v>
      </c>
      <c r="E40" s="39">
        <f>E33+E35+E37+E39</f>
        <v>99988.452602999983</v>
      </c>
      <c r="F40" s="39">
        <f>F33+F35+F37+F39</f>
        <v>46088.297589374983</v>
      </c>
      <c r="G40" s="39">
        <f>G33+G35+G37+G39</f>
        <v>39079.533163218752</v>
      </c>
      <c r="H40" s="39">
        <f>H33+H35+H37+H39</f>
        <v>44245.482084208139</v>
      </c>
    </row>
    <row r="41" spans="1:12">
      <c r="A41" s="7" t="s">
        <v>221</v>
      </c>
      <c r="C41" s="20">
        <f t="shared" ref="C41:H41" si="4">IFERROR(C40/C29,"")</f>
        <v>0.26613276786725271</v>
      </c>
      <c r="D41" s="20">
        <f t="shared" si="4"/>
        <v>0.29423157894736851</v>
      </c>
      <c r="E41" s="20">
        <f t="shared" si="4"/>
        <v>0.31403478260869561</v>
      </c>
      <c r="F41" s="20">
        <f t="shared" si="4"/>
        <v>0.19299999999999995</v>
      </c>
      <c r="G41" s="20">
        <f t="shared" si="4"/>
        <v>0.15585714285714286</v>
      </c>
      <c r="H41" s="20">
        <f t="shared" si="4"/>
        <v>0.16805714285714288</v>
      </c>
    </row>
    <row r="43" spans="1:12">
      <c r="A43" s="11" t="s">
        <v>222</v>
      </c>
      <c r="B43" s="4"/>
      <c r="C43" s="4"/>
      <c r="D43" s="4"/>
      <c r="E43" s="4"/>
      <c r="F43" s="4"/>
      <c r="G43" s="4"/>
      <c r="H43" s="4"/>
      <c r="I43" s="4"/>
      <c r="J43" s="4"/>
      <c r="K43" s="4"/>
      <c r="L43" s="4"/>
    </row>
    <row r="44" spans="1:12">
      <c r="A44" s="22" t="s">
        <v>223</v>
      </c>
      <c r="B44" s="23">
        <v>2.5000000000000001E-2</v>
      </c>
      <c r="L44" s="9" t="s">
        <v>224</v>
      </c>
    </row>
    <row r="45" spans="1:12">
      <c r="A45" s="7" t="s">
        <v>225</v>
      </c>
      <c r="D45" s="40">
        <f>1/(1+B24)^1</f>
        <v>0.88183180215027401</v>
      </c>
      <c r="E45" s="40">
        <f>1/(1+B24)^2</f>
        <v>0.77762732728359996</v>
      </c>
      <c r="F45" s="40">
        <f>1/(1+B24)^3</f>
        <v>0.68573650741979797</v>
      </c>
      <c r="G45" s="40">
        <f>1/(1+B24)^4</f>
        <v>0.60470426013823508</v>
      </c>
      <c r="H45" s="40">
        <f>1/(1+B24)^5</f>
        <v>0.53324744748564801</v>
      </c>
    </row>
    <row r="46" spans="1:12">
      <c r="A46" s="6" t="s">
        <v>226</v>
      </c>
      <c r="D46" s="17">
        <f>D40*D45</f>
        <v>71837.182897853636</v>
      </c>
      <c r="E46" s="17">
        <f>E40*E45</f>
        <v>77753.753156893785</v>
      </c>
      <c r="F46" s="17">
        <f>F40*F45</f>
        <v>31604.428221862294</v>
      </c>
      <c r="G46" s="17">
        <f>G40*G45</f>
        <v>23631.560188011816</v>
      </c>
      <c r="H46" s="17">
        <f>H40*H45</f>
        <v>23593.790384175958</v>
      </c>
    </row>
    <row r="47" spans="1:12">
      <c r="A47" s="8" t="s">
        <v>227</v>
      </c>
      <c r="B47" s="17">
        <f>SUM(D46:H46)</f>
        <v>228420.71484879751</v>
      </c>
    </row>
    <row r="48" spans="1:12">
      <c r="A48" s="6" t="s">
        <v>228</v>
      </c>
      <c r="B48" s="17">
        <f>H40*(1+B44)/(B24-B44)</f>
        <v>416058.05587586813</v>
      </c>
      <c r="L48" s="3" t="s">
        <v>229</v>
      </c>
    </row>
    <row r="49" spans="1:12">
      <c r="A49" s="8" t="s">
        <v>230</v>
      </c>
      <c r="B49" s="17">
        <f>B48/(1+B24)^5</f>
        <v>221861.89630164779</v>
      </c>
    </row>
    <row r="50" spans="1:12">
      <c r="A50" s="7" t="s">
        <v>231</v>
      </c>
      <c r="B50" s="20">
        <f>IFERROR(B49/(B49+B47),"")</f>
        <v>0.49271699774238192</v>
      </c>
      <c r="L50" s="9" t="s">
        <v>232</v>
      </c>
    </row>
    <row r="51" spans="1:12">
      <c r="A51" s="32" t="s">
        <v>233</v>
      </c>
      <c r="B51" s="39">
        <f>B47+B49</f>
        <v>450282.6111504453</v>
      </c>
    </row>
    <row r="53" spans="1:12">
      <c r="A53" s="11" t="s">
        <v>234</v>
      </c>
      <c r="B53" s="4"/>
      <c r="C53" s="4"/>
      <c r="D53" s="4"/>
      <c r="E53" s="4"/>
      <c r="F53" s="4"/>
      <c r="G53" s="4"/>
      <c r="H53" s="4"/>
      <c r="I53" s="4"/>
      <c r="J53" s="4"/>
      <c r="K53" s="4"/>
      <c r="L53" s="4"/>
    </row>
    <row r="54" spans="1:12">
      <c r="A54" s="7" t="s">
        <v>235</v>
      </c>
      <c r="B54" s="17">
        <f>B51</f>
        <v>450282.6111504453</v>
      </c>
    </row>
    <row r="55" spans="1:12">
      <c r="A55" s="7" t="s">
        <v>236</v>
      </c>
      <c r="B55" s="17">
        <f>B10</f>
        <v>88000</v>
      </c>
    </row>
    <row r="56" spans="1:12">
      <c r="A56" s="7" t="s">
        <v>237</v>
      </c>
      <c r="B56" s="17">
        <f>B11</f>
        <v>20658</v>
      </c>
    </row>
    <row r="57" spans="1:12">
      <c r="A57" s="7" t="s">
        <v>238</v>
      </c>
      <c r="B57" s="17">
        <f>-B9</f>
        <v>-18600</v>
      </c>
    </row>
    <row r="58" spans="1:12">
      <c r="A58" s="7" t="s">
        <v>239</v>
      </c>
      <c r="B58" s="17">
        <f>-B12</f>
        <v>-1988</v>
      </c>
    </row>
    <row r="59" spans="1:12">
      <c r="A59" s="32" t="s">
        <v>240</v>
      </c>
      <c r="B59" s="39">
        <f>SUM(B54:B58)</f>
        <v>538352.6111504453</v>
      </c>
    </row>
    <row r="60" spans="1:12">
      <c r="A60" s="7" t="s">
        <v>92</v>
      </c>
      <c r="B60" s="41">
        <f>B6</f>
        <v>730.49</v>
      </c>
    </row>
    <row r="61" spans="1:12">
      <c r="A61" s="32" t="s">
        <v>241</v>
      </c>
      <c r="B61" s="45">
        <f>B59*B7/B6</f>
        <v>736974.64872954506</v>
      </c>
    </row>
    <row r="62" spans="1:12">
      <c r="A62" s="7" t="s">
        <v>242</v>
      </c>
      <c r="B62" s="46">
        <f>B5</f>
        <v>1577000</v>
      </c>
    </row>
    <row r="63" spans="1:12">
      <c r="A63" s="8" t="s">
        <v>243</v>
      </c>
      <c r="B63" s="20">
        <f>IFERROR(B61/B5-1,"")</f>
        <v>-0.53267301919496191</v>
      </c>
      <c r="L63" s="9" t="s">
        <v>244</v>
      </c>
    </row>
    <row r="65" spans="1:12">
      <c r="A65" s="11" t="s">
        <v>245</v>
      </c>
      <c r="B65" s="4"/>
      <c r="C65" s="4"/>
      <c r="D65" s="4"/>
      <c r="E65" s="4"/>
      <c r="F65" s="4"/>
      <c r="G65" s="4"/>
      <c r="H65" s="4"/>
      <c r="I65" s="4"/>
      <c r="J65" s="4"/>
      <c r="K65" s="4"/>
      <c r="L65" s="4"/>
    </row>
    <row r="66" spans="1:12">
      <c r="A66" s="8" t="s">
        <v>246</v>
      </c>
      <c r="B66" s="42" t="s">
        <v>247</v>
      </c>
      <c r="C66" s="43">
        <v>0.01</v>
      </c>
      <c r="D66" s="43">
        <v>0.02</v>
      </c>
      <c r="E66" s="43">
        <v>2.5000000000000001E-2</v>
      </c>
      <c r="F66" s="43">
        <v>0.03</v>
      </c>
      <c r="G66" s="43">
        <v>3.5000000000000003E-2</v>
      </c>
    </row>
    <row r="67" spans="1:12">
      <c r="B67" s="43">
        <v>0.09</v>
      </c>
      <c r="C67" s="47">
        <f>IF($B67&lt;=C$66,"n/a",($D$40/(1+$B67)^1+$E$40/(1+$B67)^2+$F$40/(1+$B67)^3+$G$40/(1+$B67)^4+$H$40/(1+$B67)^5+($H$40*(1+C$66)/($B67-C$66))/(1+$B67)^5+B10+B11-B9-B12)*B7/B6)</f>
        <v>961062.78382855363</v>
      </c>
      <c r="D67" s="47">
        <f>IF($B67&lt;=D$66,"n/a",($D$40/(1+$B67)^1+$E$40/(1+$B67)^2+$F$40/(1+$B67)^3+$G$40/(1+$B67)^4+$H$40/(1+$B67)^5+($H$40*(1+D$66)/($B67-D$66))/(1+$B67)^5+B10+B11-B9-B12)*B7/B6)</f>
        <v>1037686.0459642103</v>
      </c>
      <c r="E67" s="47">
        <f>IF($B67&lt;=E$66,"n/a",($D$40/(1+$B67)^1+$E$40/(1+$B67)^2+$F$40/(1+$B67)^3+$G$40/(1+$B67)^4+$H$40/(1+$B67)^5+($H$40*(1+E$66)/($B67-E$66))/(1+$B67)^5+B10+B11-B9-B12)*B7/B6)</f>
        <v>1084838.8226630758</v>
      </c>
      <c r="F67" s="47">
        <f>IF($B67&lt;=F$66,"n/a",($D$40/(1+$B67)^1+$E$40/(1+$B67)^2+$F$40/(1+$B67)^3+$G$40/(1+$B67)^4+$H$40/(1+$B67)^5+($H$40*(1+F$66)/($B67-F$66))/(1+$B67)^5+B10+B11-B9-B12)*B7/B6)</f>
        <v>1139850.3954784193</v>
      </c>
      <c r="G67" s="47">
        <f>IF($B67&lt;=G$66,"n/a",($D$40/(1+$B67)^1+$E$40/(1+$B67)^2+$F$40/(1+$B67)^3+$G$40/(1+$B67)^4+$H$40/(1+$B67)^5+($H$40*(1+G$66)/($B67-G$66))/(1+$B67)^5+B10+B11-B9-B12)*B7/B6)</f>
        <v>1204864.072442007</v>
      </c>
    </row>
    <row r="68" spans="1:12">
      <c r="B68" s="43">
        <v>0.1</v>
      </c>
      <c r="C68" s="47">
        <f>IF($B68&lt;=C$66,"n/a",($D$40/(1+$B68)^1+$E$40/(1+$B68)^2+$F$40/(1+$B68)^3+$G$40/(1+$B68)^4+$H$40/(1+$B68)^5+($H$40*(1+C$66)/($B68-C$66))/(1+$B68)^5+B10+B11-B9-B12)*B7/B6)</f>
        <v>878673.52286553918</v>
      </c>
      <c r="D68" s="47">
        <f>IF($B68&lt;=D$66,"n/a",($D$40/(1+$B68)^1+$E$40/(1+$B68)^2+$F$40/(1+$B68)^3+$G$40/(1+$B68)^4+$H$40/(1+$B68)^5+($H$40*(1+D$66)/($B68-D$66))/(1+$B68)^5+B10+B11-B9-B12)*B7/B6)</f>
        <v>936131.64382739796</v>
      </c>
      <c r="E68" s="47">
        <f>IF($B68&lt;=E$66,"n/a",($D$40/(1+$B68)^1+$E$40/(1+$B68)^2+$F$40/(1+$B68)^3+$G$40/(1+$B68)^4+$H$40/(1+$B68)^5+($H$40*(1+E$66)/($B68-E$66))/(1+$B68)^5+B10+B11-B9-B12)*B7/B6)</f>
        <v>970606.51640451327</v>
      </c>
      <c r="F68" s="47">
        <f>IF($B68&lt;=F$66,"n/a",($D$40/(1+$B68)^1+$E$40/(1+$B68)^2+$F$40/(1+$B68)^3+$G$40/(1+$B68)^4+$H$40/(1+$B68)^5+($H$40*(1+F$66)/($B68-F$66))/(1+$B68)^5+B10+B11-B9-B12)*B7/B6)</f>
        <v>1010006.3707783594</v>
      </c>
      <c r="G68" s="47">
        <f>IF($B68&lt;=G$66,"n/a",($D$40/(1+$B68)^1+$E$40/(1+$B68)^2+$F$40/(1+$B68)^3+$G$40/(1+$B68)^4+$H$40/(1+$B68)^5+($H$40*(1+G$66)/($B68-G$66))/(1+$B68)^5+B10+B11-B9-B12)*B7/B6)</f>
        <v>1055467.74120972</v>
      </c>
    </row>
    <row r="69" spans="1:12">
      <c r="B69" s="43">
        <v>0.11</v>
      </c>
      <c r="C69" s="47">
        <f>IF($B69&lt;=C$66,"n/a",($D$40/(1+$B69)^1+$E$40/(1+$B69)^2+$F$40/(1+$B69)^3+$G$40/(1+$B69)^4+$H$40/(1+$B69)^5+($H$40*(1+C$66)/($B69-C$66))/(1+$B69)^5+B10+B11-B9-B12)*B7/B6)</f>
        <v>812488.12629939057</v>
      </c>
      <c r="D69" s="47">
        <f>IF($B69&lt;=D$66,"n/a",($D$40/(1+$B69)^1+$E$40/(1+$B69)^2+$F$40/(1+$B69)^3+$G$40/(1+$B69)^4+$H$40/(1+$B69)^5+($H$40*(1+D$66)/($B69-D$66))/(1+$B69)^5+B10+B11-B9-B12)*B7/B6)</f>
        <v>856820.42306038609</v>
      </c>
      <c r="E69" s="47">
        <f>IF($B69&lt;=E$66,"n/a",($D$40/(1+$B69)^1+$E$40/(1+$B69)^2+$F$40/(1+$B69)^3+$G$40/(1+$B69)^4+$H$40/(1+$B69)^5+($H$40*(1+E$66)/($B69-E$66))/(1+$B69)^5+B10+B11-B9-B12)*B7/B6)</f>
        <v>882898.24468450097</v>
      </c>
      <c r="F69" s="47">
        <f>IF($B69&lt;=F$66,"n/a",($D$40/(1+$B69)^1+$E$40/(1+$B69)^2+$F$40/(1+$B69)^3+$G$40/(1+$B69)^4+$H$40/(1+$B69)^5+($H$40*(1+F$66)/($B69-F$66))/(1+$B69)^5+B10+B11-B9-B12)*B7/B6)</f>
        <v>912235.79401163023</v>
      </c>
      <c r="G69" s="47">
        <f>IF($B69&lt;=G$66,"n/a",($D$40/(1+$B69)^1+$E$40/(1+$B69)^2+$F$40/(1+$B69)^3+$G$40/(1+$B69)^4+$H$40/(1+$B69)^5+($H$40*(1+G$66)/($B69-G$66))/(1+$B69)^5+B10+B11-B9-B12)*B7/B6)</f>
        <v>945485.01658237667</v>
      </c>
    </row>
    <row r="70" spans="1:12">
      <c r="B70" s="43">
        <v>0.12</v>
      </c>
      <c r="C70" s="47">
        <f>IF($B70&lt;=C$66,"n/a",($D$40/(1+$B70)^1+$E$40/(1+$B70)^2+$F$40/(1+$B70)^3+$G$40/(1+$B70)^4+$H$40/(1+$B70)^5+($H$40*(1+C$66)/($B70-C$66))/(1+$B70)^5+B10+B11-B9-B12)*B7/B6)</f>
        <v>758095.9456150505</v>
      </c>
      <c r="D70" s="47">
        <f>IF($B70&lt;=D$66,"n/a",($D$40/(1+$B70)^1+$E$40/(1+$B70)^2+$F$40/(1+$B70)^3+$G$40/(1+$B70)^4+$H$40/(1+$B70)^5+($H$40*(1+D$66)/($B70-D$66))/(1+$B70)^5+B10+B11-B9-B12)*B7/B6)</f>
        <v>793089.64691922022</v>
      </c>
      <c r="E70" s="47">
        <f>IF($B70&lt;=E$66,"n/a",($D$40/(1+$B70)^1+$E$40/(1+$B70)^2+$F$40/(1+$B70)^3+$G$40/(1+$B70)^4+$H$40/(1+$B70)^5+($H$40*(1+E$66)/($B70-E$66))/(1+$B70)^5+B10+B11-B9-B12)*B7/B6)</f>
        <v>813349.15820058179</v>
      </c>
      <c r="F70" s="47">
        <f>IF($B70&lt;=F$66,"n/a",($D$40/(1+$B70)^1+$E$40/(1+$B70)^2+$F$40/(1+$B70)^3+$G$40/(1+$B70)^4+$H$40/(1+$B70)^5+($H$40*(1+F$66)/($B70-F$66))/(1+$B70)^5+B10+B11-B9-B12)*B7/B6)</f>
        <v>835859.72629098361</v>
      </c>
      <c r="G70" s="47">
        <f>IF($B70&lt;=G$66,"n/a",($D$40/(1+$B70)^1+$E$40/(1+$B70)^2+$F$40/(1+$B70)^3+$G$40/(1+$B70)^4+$H$40/(1+$B70)^5+($H$40*(1+G$66)/($B70-G$66))/(1+$B70)^5+B10+B11-B9-B12)*B7/B6)</f>
        <v>861018.5965096677</v>
      </c>
    </row>
    <row r="71" spans="1:12">
      <c r="B71" s="43">
        <v>0.13</v>
      </c>
      <c r="C71" s="47">
        <f>IF($B71&lt;=C$66,"n/a",($D$40/(1+$B71)^1+$E$40/(1+$B71)^2+$F$40/(1+$B71)^3+$G$40/(1+$B71)^4+$H$40/(1+$B71)^5+($H$40*(1+C$66)/($B71-C$66))/(1+$B71)^5+B10+B11-B9-B12)*B7/B6)</f>
        <v>712556.22610140021</v>
      </c>
      <c r="D71" s="47">
        <f>IF($B71&lt;=D$66,"n/a",($D$40/(1+$B71)^1+$E$40/(1+$B71)^2+$F$40/(1+$B71)^3+$G$40/(1+$B71)^4+$H$40/(1+$B71)^5+($H$40*(1+D$66)/($B71-D$66))/(1+$B71)^5+B10+B11-B9-B12)*B7/B6)</f>
        <v>740699.00321763987</v>
      </c>
      <c r="E71" s="47">
        <f>IF($B71&lt;=E$66,"n/a",($D$40/(1+$B71)^1+$E$40/(1+$B71)^2+$F$40/(1+$B71)^3+$G$40/(1+$B71)^4+$H$40/(1+$B71)^5+($H$40*(1+E$66)/($B71-E$66))/(1+$B71)^5+B10+B11-B9-B12)*B7/B6)</f>
        <v>756780.59014120512</v>
      </c>
      <c r="F71" s="47">
        <f>IF($B71&lt;=F$66,"n/a",($D$40/(1+$B71)^1+$E$40/(1+$B71)^2+$F$40/(1+$B71)^3+$G$40/(1+$B71)^4+$H$40/(1+$B71)^5+($H$40*(1+F$66)/($B71-F$66))/(1+$B71)^5+B10+B11-B9-B12)*B7/B6)</f>
        <v>774470.33575712715</v>
      </c>
      <c r="G71" s="47">
        <f>IF($B71&lt;=G$66,"n/a",($D$40/(1+$B71)^1+$E$40/(1+$B71)^2+$F$40/(1+$B71)^3+$G$40/(1+$B71)^4+$H$40/(1+$B71)^5+($H$40*(1+G$66)/($B71-G$66))/(1+$B71)^5+B10+B11-B9-B12)*B7/B6)</f>
        <v>794022.15985893563</v>
      </c>
    </row>
    <row r="72" spans="1:12">
      <c r="A72" s="9" t="s">
        <v>248</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B879-BD69-48A3-8A39-E8839E164428}">
  <dimension ref="A1:J62"/>
  <sheetViews>
    <sheetView workbookViewId="0">
      <selection activeCell="A2" sqref="A2"/>
    </sheetView>
  </sheetViews>
  <sheetFormatPr defaultColWidth="8.6328125" defaultRowHeight="14.5"/>
  <cols>
    <col min="1" max="1" width="54" customWidth="1"/>
    <col min="2" max="2" width="13" customWidth="1"/>
    <col min="3" max="3" width="16.453125" customWidth="1"/>
    <col min="4" max="10" width="13" customWidth="1"/>
  </cols>
  <sheetData>
    <row r="1" spans="1:10" ht="18">
      <c r="A1" s="50" t="s">
        <v>265</v>
      </c>
    </row>
    <row r="2" spans="1:10">
      <c r="A2" s="9" t="s">
        <v>250</v>
      </c>
    </row>
    <row r="4" spans="1:10">
      <c r="A4" s="11" t="s">
        <v>177</v>
      </c>
      <c r="B4" s="4"/>
      <c r="C4" s="4"/>
      <c r="D4" s="4"/>
      <c r="E4" s="4"/>
      <c r="F4" s="4"/>
      <c r="G4" s="4"/>
      <c r="H4" s="4"/>
      <c r="I4" s="4"/>
      <c r="J4" s="4"/>
    </row>
    <row r="5" spans="1:10">
      <c r="A5" s="7" t="s">
        <v>178</v>
      </c>
      <c r="B5" s="44">
        <v>1577000</v>
      </c>
    </row>
    <row r="6" spans="1:10">
      <c r="A6" s="7" t="s">
        <v>179</v>
      </c>
      <c r="B6" s="18">
        <v>730.49</v>
      </c>
    </row>
    <row r="7" spans="1:10">
      <c r="A7" s="7" t="s">
        <v>180</v>
      </c>
      <c r="B7" s="16">
        <v>1000</v>
      </c>
    </row>
    <row r="8" spans="1:10">
      <c r="A8" s="8" t="s">
        <v>181</v>
      </c>
      <c r="B8" s="17">
        <f>B5*B6/B7</f>
        <v>1151982.73</v>
      </c>
    </row>
    <row r="9" spans="1:10">
      <c r="A9" s="7"/>
      <c r="B9" s="16"/>
    </row>
    <row r="10" spans="1:10">
      <c r="A10" s="7"/>
      <c r="B10" s="16"/>
    </row>
    <row r="11" spans="1:10">
      <c r="A11" s="7"/>
      <c r="B11" s="16"/>
    </row>
    <row r="12" spans="1:10">
      <c r="A12" s="7"/>
      <c r="B12" s="16"/>
    </row>
    <row r="14" spans="1:10">
      <c r="A14" s="11" t="s">
        <v>188</v>
      </c>
      <c r="B14" s="4"/>
      <c r="C14" s="4"/>
      <c r="D14" s="4"/>
      <c r="E14" s="4"/>
      <c r="F14" s="4"/>
      <c r="G14" s="4"/>
      <c r="H14" s="4"/>
      <c r="I14" s="4"/>
      <c r="J14" s="4"/>
    </row>
    <row r="15" spans="1:10">
      <c r="A15" s="22" t="s">
        <v>189</v>
      </c>
      <c r="B15" s="23">
        <v>0.03</v>
      </c>
    </row>
    <row r="16" spans="1:10">
      <c r="A16" s="22" t="s">
        <v>190</v>
      </c>
      <c r="B16" s="23">
        <v>0.06</v>
      </c>
    </row>
    <row r="17" spans="1:10">
      <c r="A17" s="22" t="s">
        <v>191</v>
      </c>
      <c r="B17" s="30">
        <v>1.76</v>
      </c>
    </row>
    <row r="18" spans="1:10">
      <c r="A18" s="8" t="s">
        <v>192</v>
      </c>
      <c r="B18" s="20">
        <f>B15+B17*B16</f>
        <v>0.1356</v>
      </c>
    </row>
    <row r="19" spans="1:10">
      <c r="A19" s="7"/>
      <c r="B19" s="31"/>
    </row>
    <row r="20" spans="1:10">
      <c r="A20" s="22"/>
      <c r="B20" s="23"/>
    </row>
    <row r="21" spans="1:10">
      <c r="A21" s="7"/>
      <c r="B21" s="20"/>
    </row>
    <row r="22" spans="1:10">
      <c r="A22" s="7"/>
      <c r="B22" s="20"/>
    </row>
    <row r="23" spans="1:10">
      <c r="A23" s="7"/>
      <c r="B23" s="20"/>
    </row>
    <row r="24" spans="1:10">
      <c r="A24" s="32" t="s">
        <v>199</v>
      </c>
      <c r="B24" s="33">
        <f>B18</f>
        <v>0.1356</v>
      </c>
    </row>
    <row r="26" spans="1:10">
      <c r="A26" s="11" t="s">
        <v>201</v>
      </c>
      <c r="B26" s="4"/>
      <c r="C26" s="4"/>
      <c r="D26" s="4"/>
      <c r="E26" s="4"/>
      <c r="F26" s="4"/>
      <c r="G26" s="4"/>
      <c r="H26" s="4"/>
      <c r="I26" s="4"/>
      <c r="J26" s="4"/>
    </row>
    <row r="27" spans="1:10" ht="26">
      <c r="A27" s="13" t="s">
        <v>202</v>
      </c>
      <c r="C27" s="48" t="s">
        <v>203</v>
      </c>
      <c r="D27" s="14" t="s">
        <v>204</v>
      </c>
      <c r="E27" s="14" t="s">
        <v>205</v>
      </c>
      <c r="F27" s="14" t="s">
        <v>206</v>
      </c>
      <c r="G27" s="14" t="s">
        <v>207</v>
      </c>
      <c r="H27" s="14" t="s">
        <v>208</v>
      </c>
      <c r="I27" s="48" t="s">
        <v>209</v>
      </c>
    </row>
    <row r="28" spans="1:10">
      <c r="A28" s="34" t="s">
        <v>94</v>
      </c>
      <c r="C28" s="6"/>
      <c r="D28" s="23">
        <v>1.85</v>
      </c>
      <c r="E28" s="23">
        <v>0.15</v>
      </c>
      <c r="F28" s="23">
        <v>-0.25</v>
      </c>
      <c r="G28" s="23">
        <v>0.05</v>
      </c>
      <c r="H28" s="23">
        <v>0.05</v>
      </c>
    </row>
    <row r="29" spans="1:10">
      <c r="A29" s="8" t="s">
        <v>262</v>
      </c>
      <c r="C29" s="35">
        <f>Raw_SKhynix!K6</f>
        <v>97147</v>
      </c>
      <c r="D29" s="17">
        <f>C29*(1+D28)</f>
        <v>276868.95</v>
      </c>
      <c r="E29" s="17">
        <f>D29*(1+E28)</f>
        <v>318399.29249999998</v>
      </c>
      <c r="F29" s="17">
        <f>E29*(1+F28)</f>
        <v>238799.46937499999</v>
      </c>
      <c r="G29" s="17">
        <f>F29*(1+G28)</f>
        <v>250739.44284375</v>
      </c>
      <c r="H29" s="17">
        <f>G29*(1+H28)</f>
        <v>263276.41498593753</v>
      </c>
    </row>
    <row r="30" spans="1:10">
      <c r="A30" s="34" t="s">
        <v>95</v>
      </c>
      <c r="C30" s="36">
        <f>IFERROR(Raw_SKhynix!K10/Raw_SKhynix!K6,"")</f>
        <v>0.48592339444347227</v>
      </c>
      <c r="D30" s="23">
        <v>0.72</v>
      </c>
      <c r="E30" s="23">
        <v>0.62</v>
      </c>
      <c r="F30" s="23">
        <v>0.35</v>
      </c>
      <c r="G30" s="23">
        <v>0.35</v>
      </c>
      <c r="H30" s="23">
        <v>0.34</v>
      </c>
    </row>
    <row r="31" spans="1:10">
      <c r="A31" s="8" t="s">
        <v>210</v>
      </c>
      <c r="C31" s="17">
        <f t="shared" ref="C31:H31" si="0">C29*C30</f>
        <v>47206</v>
      </c>
      <c r="D31" s="17">
        <f t="shared" si="0"/>
        <v>199345.644</v>
      </c>
      <c r="E31" s="17">
        <f t="shared" si="0"/>
        <v>197407.56134999997</v>
      </c>
      <c r="F31" s="17">
        <f t="shared" si="0"/>
        <v>83579.814281249986</v>
      </c>
      <c r="G31" s="17">
        <f t="shared" si="0"/>
        <v>87758.804995312501</v>
      </c>
      <c r="H31" s="17">
        <f t="shared" si="0"/>
        <v>89513.981095218769</v>
      </c>
    </row>
    <row r="32" spans="1:10">
      <c r="A32" s="7"/>
      <c r="C32" s="17"/>
      <c r="D32" s="17"/>
      <c r="E32" s="17"/>
      <c r="F32" s="17"/>
      <c r="G32" s="17"/>
      <c r="H32" s="17"/>
    </row>
    <row r="33" spans="1:10">
      <c r="A33" s="8"/>
      <c r="C33" s="17"/>
      <c r="D33" s="17"/>
      <c r="E33" s="17"/>
      <c r="F33" s="17"/>
      <c r="G33" s="17"/>
      <c r="H33" s="17"/>
    </row>
    <row r="40" spans="1:10">
      <c r="A40" s="32" t="s">
        <v>263</v>
      </c>
      <c r="C40" s="38">
        <f t="shared" ref="C40:H40" si="1">C31</f>
        <v>47206</v>
      </c>
      <c r="D40" s="38">
        <f t="shared" si="1"/>
        <v>199345.644</v>
      </c>
      <c r="E40" s="38">
        <f t="shared" si="1"/>
        <v>197407.56134999997</v>
      </c>
      <c r="F40" s="38">
        <f t="shared" si="1"/>
        <v>83579.814281249986</v>
      </c>
      <c r="G40" s="38">
        <f t="shared" si="1"/>
        <v>87758.804995312501</v>
      </c>
      <c r="H40" s="38">
        <f t="shared" si="1"/>
        <v>89513.981095218769</v>
      </c>
    </row>
    <row r="42" spans="1:10">
      <c r="A42" s="11" t="s">
        <v>222</v>
      </c>
      <c r="B42" s="4"/>
      <c r="C42" s="4"/>
      <c r="D42" s="4"/>
      <c r="E42" s="4"/>
      <c r="F42" s="4"/>
      <c r="G42" s="4"/>
      <c r="H42" s="4"/>
      <c r="I42" s="4"/>
      <c r="J42" s="4"/>
    </row>
    <row r="43" spans="1:10">
      <c r="A43" s="22" t="s">
        <v>223</v>
      </c>
      <c r="B43" s="23">
        <v>2.5000000000000001E-2</v>
      </c>
    </row>
    <row r="44" spans="1:10">
      <c r="A44" s="7" t="s">
        <v>225</v>
      </c>
      <c r="D44" s="40">
        <f>1/(1+B24)^1</f>
        <v>0.88059175766114839</v>
      </c>
      <c r="E44" s="40">
        <f>1/(1+B24)^2</f>
        <v>0.77544184366075064</v>
      </c>
      <c r="F44" s="40">
        <f>1/(1+B24)^3</f>
        <v>0.68284769607322182</v>
      </c>
      <c r="G44" s="40">
        <f>1/(1+B24)^4</f>
        <v>0.60131005289998407</v>
      </c>
      <c r="H44" s="40">
        <f>1/(1+B24)^5</f>
        <v>0.52950867638251509</v>
      </c>
    </row>
    <row r="45" spans="1:10">
      <c r="A45" s="6" t="s">
        <v>226</v>
      </c>
      <c r="D45" s="17">
        <f>D40*D44</f>
        <v>175542.13103205356</v>
      </c>
      <c r="E45" s="17">
        <f>E40*E44</f>
        <v>153078.08332581673</v>
      </c>
      <c r="F45" s="17">
        <f>F40*F44</f>
        <v>57072.283620179318</v>
      </c>
      <c r="G45" s="17">
        <f>G40*G44</f>
        <v>52770.251674170744</v>
      </c>
      <c r="H45" s="17">
        <f>H40*H44</f>
        <v>47398.429647458768</v>
      </c>
    </row>
    <row r="46" spans="1:10">
      <c r="A46" s="8" t="s">
        <v>227</v>
      </c>
      <c r="B46" s="17">
        <f>SUM(D45:H45)</f>
        <v>485861.17929967912</v>
      </c>
    </row>
    <row r="47" spans="1:10">
      <c r="A47" s="6" t="s">
        <v>228</v>
      </c>
      <c r="B47" s="17">
        <f>H40*(1+B43)/(B24-B43)</f>
        <v>829582.55535804003</v>
      </c>
    </row>
    <row r="48" spans="1:10">
      <c r="A48" s="8" t="s">
        <v>230</v>
      </c>
      <c r="B48" s="17">
        <f>B47/(1+B24)^5</f>
        <v>439271.16083766025</v>
      </c>
    </row>
    <row r="49" spans="1:10">
      <c r="A49" s="7" t="s">
        <v>231</v>
      </c>
      <c r="B49" s="20">
        <f>IFERROR(B48/(B48+B46),"")</f>
        <v>0.47481980877724883</v>
      </c>
    </row>
    <row r="50" spans="1:10">
      <c r="A50" s="32" t="s">
        <v>233</v>
      </c>
      <c r="B50" s="39">
        <f>B46+B48</f>
        <v>925132.34013733943</v>
      </c>
    </row>
    <row r="52" spans="1:10">
      <c r="A52" s="11" t="s">
        <v>234</v>
      </c>
      <c r="B52" s="4"/>
      <c r="C52" s="4"/>
      <c r="D52" s="4"/>
      <c r="E52" s="4"/>
      <c r="F52" s="4"/>
      <c r="G52" s="4"/>
      <c r="H52" s="4"/>
      <c r="I52" s="4"/>
      <c r="J52" s="4"/>
    </row>
    <row r="53" spans="1:10">
      <c r="A53" s="7" t="s">
        <v>235</v>
      </c>
      <c r="B53" s="17">
        <f>B50</f>
        <v>925132.34013733943</v>
      </c>
    </row>
    <row r="54" spans="1:10">
      <c r="A54" s="7"/>
      <c r="B54" s="17"/>
    </row>
    <row r="55" spans="1:10">
      <c r="A55" s="7"/>
      <c r="B55" s="17"/>
    </row>
    <row r="56" spans="1:10">
      <c r="A56" s="7"/>
      <c r="B56" s="17"/>
    </row>
    <row r="57" spans="1:10">
      <c r="A57" s="7"/>
      <c r="B57" s="17"/>
    </row>
    <row r="58" spans="1:10">
      <c r="A58" s="32" t="s">
        <v>240</v>
      </c>
      <c r="B58" s="39">
        <f>SUM(B53:B57)</f>
        <v>925132.34013733943</v>
      </c>
    </row>
    <row r="59" spans="1:10">
      <c r="A59" s="7" t="s">
        <v>92</v>
      </c>
      <c r="B59" s="41">
        <f>B6</f>
        <v>730.49</v>
      </c>
    </row>
    <row r="60" spans="1:10">
      <c r="A60" s="32" t="s">
        <v>241</v>
      </c>
      <c r="B60" s="45">
        <f>B58*B7/B6</f>
        <v>1266454.4896402955</v>
      </c>
    </row>
    <row r="61" spans="1:10">
      <c r="A61" s="7" t="s">
        <v>242</v>
      </c>
      <c r="B61" s="46">
        <f>B5</f>
        <v>1577000</v>
      </c>
    </row>
    <row r="62" spans="1:10">
      <c r="A62" s="8" t="s">
        <v>243</v>
      </c>
      <c r="B62" s="20">
        <f>IFERROR(B60/B5-1,"")</f>
        <v>-0.19692169331623621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2613E-4C69-475C-BA4A-ED58E2CECD4A}">
  <dimension ref="A1:J62"/>
  <sheetViews>
    <sheetView tabSelected="1" workbookViewId="0">
      <selection activeCell="H19" sqref="H19"/>
    </sheetView>
  </sheetViews>
  <sheetFormatPr defaultColWidth="8.6328125" defaultRowHeight="14.5"/>
  <cols>
    <col min="1" max="1" width="54" customWidth="1"/>
    <col min="2" max="2" width="13" customWidth="1"/>
    <col min="3" max="3" width="16.453125" customWidth="1"/>
    <col min="4" max="10" width="13" customWidth="1"/>
  </cols>
  <sheetData>
    <row r="1" spans="1:10" ht="18">
      <c r="A1" s="50" t="s">
        <v>266</v>
      </c>
    </row>
    <row r="2" spans="1:10">
      <c r="A2" s="9" t="s">
        <v>250</v>
      </c>
    </row>
    <row r="4" spans="1:10">
      <c r="A4" s="11" t="s">
        <v>177</v>
      </c>
      <c r="B4" s="4"/>
      <c r="C4" s="4"/>
      <c r="D4" s="4"/>
      <c r="E4" s="4"/>
      <c r="F4" s="4"/>
      <c r="G4" s="4"/>
      <c r="H4" s="4"/>
      <c r="I4" s="4"/>
      <c r="J4" s="4"/>
    </row>
    <row r="5" spans="1:10">
      <c r="A5" s="7" t="s">
        <v>178</v>
      </c>
      <c r="B5" s="44">
        <v>1577000</v>
      </c>
    </row>
    <row r="6" spans="1:10">
      <c r="A6" s="7" t="s">
        <v>179</v>
      </c>
      <c r="B6" s="18">
        <v>730.49</v>
      </c>
    </row>
    <row r="7" spans="1:10">
      <c r="A7" s="7" t="s">
        <v>180</v>
      </c>
      <c r="B7" s="16">
        <v>1000</v>
      </c>
    </row>
    <row r="8" spans="1:10">
      <c r="A8" s="8" t="s">
        <v>181</v>
      </c>
      <c r="B8" s="17">
        <f>B5*B6/B7</f>
        <v>1151982.73</v>
      </c>
    </row>
    <row r="9" spans="1:10">
      <c r="A9" s="7"/>
      <c r="B9" s="16"/>
    </row>
    <row r="10" spans="1:10">
      <c r="A10" s="7"/>
      <c r="B10" s="16"/>
    </row>
    <row r="11" spans="1:10">
      <c r="A11" s="7"/>
      <c r="B11" s="16"/>
    </row>
    <row r="12" spans="1:10">
      <c r="A12" s="7"/>
      <c r="B12" s="16"/>
    </row>
    <row r="14" spans="1:10">
      <c r="A14" s="11" t="s">
        <v>188</v>
      </c>
      <c r="B14" s="4"/>
      <c r="C14" s="4"/>
      <c r="D14" s="4"/>
      <c r="E14" s="4"/>
      <c r="F14" s="4"/>
      <c r="G14" s="4"/>
      <c r="H14" s="4"/>
      <c r="I14" s="4"/>
      <c r="J14" s="4"/>
    </row>
    <row r="15" spans="1:10">
      <c r="A15" s="22" t="s">
        <v>189</v>
      </c>
      <c r="B15" s="23">
        <v>0.03</v>
      </c>
    </row>
    <row r="16" spans="1:10">
      <c r="A16" s="22" t="s">
        <v>190</v>
      </c>
      <c r="B16" s="23">
        <v>0.06</v>
      </c>
    </row>
    <row r="17" spans="1:10">
      <c r="A17" s="22" t="s">
        <v>191</v>
      </c>
      <c r="B17" s="30">
        <v>1.76</v>
      </c>
    </row>
    <row r="18" spans="1:10">
      <c r="A18" s="8" t="s">
        <v>192</v>
      </c>
      <c r="B18" s="20">
        <f>B15+B17*B16</f>
        <v>0.1356</v>
      </c>
    </row>
    <row r="19" spans="1:10">
      <c r="A19" s="7"/>
      <c r="B19" s="31"/>
    </row>
    <row r="20" spans="1:10">
      <c r="A20" s="22"/>
      <c r="B20" s="23"/>
    </row>
    <row r="21" spans="1:10">
      <c r="A21" s="7"/>
      <c r="B21" s="20"/>
    </row>
    <row r="22" spans="1:10">
      <c r="A22" s="7"/>
      <c r="B22" s="20"/>
    </row>
    <row r="23" spans="1:10">
      <c r="A23" s="7"/>
      <c r="B23" s="20"/>
    </row>
    <row r="24" spans="1:10">
      <c r="A24" s="32" t="s">
        <v>199</v>
      </c>
      <c r="B24" s="33">
        <f>B18</f>
        <v>0.1356</v>
      </c>
    </row>
    <row r="26" spans="1:10">
      <c r="A26" s="11" t="s">
        <v>201</v>
      </c>
      <c r="B26" s="4"/>
      <c r="C26" s="4"/>
      <c r="D26" s="4"/>
      <c r="E26" s="4"/>
      <c r="F26" s="4"/>
      <c r="G26" s="4"/>
      <c r="H26" s="4"/>
      <c r="I26" s="4"/>
      <c r="J26" s="4"/>
    </row>
    <row r="27" spans="1:10" ht="26">
      <c r="A27" s="13" t="s">
        <v>202</v>
      </c>
      <c r="C27" s="48" t="s">
        <v>203</v>
      </c>
      <c r="D27" s="14" t="s">
        <v>204</v>
      </c>
      <c r="E27" s="14" t="s">
        <v>205</v>
      </c>
      <c r="F27" s="14" t="s">
        <v>206</v>
      </c>
      <c r="G27" s="14" t="s">
        <v>207</v>
      </c>
      <c r="H27" s="14" t="s">
        <v>208</v>
      </c>
      <c r="I27" s="48" t="s">
        <v>209</v>
      </c>
    </row>
    <row r="28" spans="1:10">
      <c r="A28" s="34" t="s">
        <v>94</v>
      </c>
      <c r="C28" s="6"/>
      <c r="D28" s="23">
        <v>1.85</v>
      </c>
      <c r="E28" s="23"/>
      <c r="F28" s="23"/>
      <c r="G28" s="23"/>
      <c r="H28" s="23"/>
    </row>
    <row r="29" spans="1:10">
      <c r="A29" s="8" t="s">
        <v>262</v>
      </c>
      <c r="C29" s="35">
        <f>Raw_SKhynix!K6</f>
        <v>97147</v>
      </c>
      <c r="D29" s="17">
        <f>C29*(1+D28)</f>
        <v>276868.95</v>
      </c>
      <c r="E29" s="17"/>
      <c r="F29" s="17"/>
      <c r="G29" s="17"/>
      <c r="H29" s="17"/>
    </row>
    <row r="30" spans="1:10">
      <c r="A30" s="34"/>
      <c r="C30" s="36"/>
      <c r="D30" s="23"/>
      <c r="E30" s="23"/>
      <c r="F30" s="23"/>
      <c r="G30" s="23"/>
      <c r="H30" s="23"/>
    </row>
    <row r="31" spans="1:10" ht="16.5">
      <c r="A31" t="s">
        <v>264</v>
      </c>
      <c r="C31" s="17"/>
      <c r="D31" s="17"/>
      <c r="E31" s="17"/>
      <c r="F31" s="17"/>
      <c r="G31" s="17"/>
      <c r="H31" s="17"/>
    </row>
    <row r="32" spans="1:10">
      <c r="A32" s="7" t="s">
        <v>235</v>
      </c>
      <c r="C32" s="17">
        <f>D29/(B18-B43)</f>
        <v>2503335.8951175408</v>
      </c>
      <c r="D32" s="17"/>
      <c r="E32" s="17"/>
      <c r="F32" s="17"/>
      <c r="G32" s="17"/>
      <c r="H32" s="17"/>
    </row>
    <row r="33" spans="1:10">
      <c r="A33" s="8"/>
      <c r="C33" s="17"/>
      <c r="D33" s="17"/>
      <c r="E33" s="17"/>
      <c r="F33" s="17"/>
      <c r="G33" s="17"/>
      <c r="H33" s="17"/>
    </row>
    <row r="40" spans="1:10">
      <c r="A40" s="32" t="s">
        <v>263</v>
      </c>
      <c r="C40" s="38">
        <f t="shared" ref="C40:H40" si="0">C31</f>
        <v>0</v>
      </c>
      <c r="D40" s="38">
        <f t="shared" si="0"/>
        <v>0</v>
      </c>
      <c r="E40" s="38">
        <f t="shared" si="0"/>
        <v>0</v>
      </c>
      <c r="F40" s="38">
        <f t="shared" si="0"/>
        <v>0</v>
      </c>
      <c r="G40" s="38">
        <f t="shared" si="0"/>
        <v>0</v>
      </c>
      <c r="H40" s="38">
        <f t="shared" si="0"/>
        <v>0</v>
      </c>
    </row>
    <row r="42" spans="1:10">
      <c r="A42" s="11" t="s">
        <v>222</v>
      </c>
      <c r="B42" s="4"/>
      <c r="C42" s="4"/>
      <c r="D42" s="4"/>
      <c r="E42" s="4"/>
      <c r="F42" s="4"/>
      <c r="G42" s="4"/>
      <c r="H42" s="4"/>
      <c r="I42" s="4"/>
      <c r="J42" s="4"/>
    </row>
    <row r="43" spans="1:10">
      <c r="A43" s="22" t="s">
        <v>223</v>
      </c>
      <c r="B43" s="23">
        <v>2.5000000000000001E-2</v>
      </c>
    </row>
    <row r="44" spans="1:10">
      <c r="A44" s="7"/>
      <c r="D44" s="40"/>
      <c r="E44" s="40"/>
      <c r="F44" s="40"/>
      <c r="G44" s="40"/>
      <c r="H44" s="40"/>
    </row>
    <row r="45" spans="1:10">
      <c r="A45" s="6"/>
      <c r="D45" s="17"/>
      <c r="E45" s="17"/>
      <c r="F45" s="17"/>
      <c r="G45" s="17"/>
      <c r="H45" s="17"/>
    </row>
    <row r="46" spans="1:10">
      <c r="A46" s="8"/>
      <c r="B46" s="17"/>
    </row>
    <row r="47" spans="1:10">
      <c r="A47" s="6"/>
      <c r="B47" s="17"/>
    </row>
    <row r="48" spans="1:10">
      <c r="A48" s="8"/>
      <c r="B48" s="17"/>
    </row>
    <row r="49" spans="1:10">
      <c r="A49" s="7"/>
      <c r="B49" s="20"/>
    </row>
    <row r="50" spans="1:10">
      <c r="A50" s="32" t="s">
        <v>233</v>
      </c>
      <c r="B50" s="39">
        <f>C32</f>
        <v>2503335.8951175408</v>
      </c>
    </row>
    <row r="52" spans="1:10">
      <c r="A52" s="11" t="s">
        <v>234</v>
      </c>
      <c r="B52" s="4"/>
      <c r="C52" s="4"/>
      <c r="D52" s="4"/>
      <c r="E52" s="4"/>
      <c r="F52" s="4"/>
      <c r="G52" s="4"/>
      <c r="H52" s="4"/>
      <c r="I52" s="4"/>
      <c r="J52" s="4"/>
    </row>
    <row r="53" spans="1:10">
      <c r="A53" s="7" t="s">
        <v>235</v>
      </c>
      <c r="B53" s="17">
        <f>B50</f>
        <v>2503335.8951175408</v>
      </c>
    </row>
    <row r="54" spans="1:10">
      <c r="A54" s="7"/>
      <c r="B54" s="17"/>
    </row>
    <row r="55" spans="1:10">
      <c r="A55" s="7"/>
      <c r="B55" s="17"/>
    </row>
    <row r="56" spans="1:10">
      <c r="A56" s="7"/>
      <c r="B56" s="17"/>
    </row>
    <row r="57" spans="1:10">
      <c r="A57" s="7"/>
      <c r="B57" s="17"/>
    </row>
    <row r="58" spans="1:10">
      <c r="A58" s="32" t="s">
        <v>240</v>
      </c>
      <c r="B58" s="39">
        <f>SUM(B53:B57)</f>
        <v>2503335.8951175408</v>
      </c>
    </row>
    <row r="59" spans="1:10">
      <c r="A59" s="7" t="s">
        <v>92</v>
      </c>
      <c r="B59" s="41">
        <f>B6</f>
        <v>730.49</v>
      </c>
    </row>
    <row r="60" spans="1:10">
      <c r="A60" s="32" t="s">
        <v>241</v>
      </c>
      <c r="B60" s="45">
        <f>B58*B7/B6</f>
        <v>3426926.9875255525</v>
      </c>
    </row>
    <row r="61" spans="1:10">
      <c r="A61" s="7" t="s">
        <v>242</v>
      </c>
      <c r="B61" s="46">
        <f>B5</f>
        <v>1577000</v>
      </c>
    </row>
    <row r="62" spans="1:10">
      <c r="A62" s="8" t="s">
        <v>243</v>
      </c>
      <c r="B62" s="20">
        <f>IFERROR(B60/B5-1,"")</f>
        <v>1.1730672083231153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Raw_NVDA</vt:lpstr>
      <vt:lpstr>Raw_SKhynix</vt:lpstr>
      <vt:lpstr>Raw_Quarterly</vt:lpstr>
      <vt:lpstr>Consensus</vt:lpstr>
      <vt:lpstr>1) DCF Val_FCFF</vt:lpstr>
      <vt:lpstr>2) VAL with Earnings</vt:lpstr>
      <vt:lpstr>3) VAL Gordon Growth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dcterms:created xsi:type="dcterms:W3CDTF">2026-08-05T11:54:29Z</dcterms:created>
  <dcterms:modified xsi:type="dcterms:W3CDTF">2026-08-07T21:43:06Z</dcterms:modified>
  <dc:language>en-US</dc:language>
</cp:coreProperties>
</file>