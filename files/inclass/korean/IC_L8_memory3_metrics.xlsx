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ong1p\Dropbox\1_0_teaching\0_2026_Summer\0_Kaist MBA\1_weekly notes\0_Valuation\"/>
    </mc:Choice>
  </mc:AlternateContent>
  <xr:revisionPtr revIDLastSave="0" documentId="8_{A75548A7-C1AC-4B14-83C2-B94112EAD0D7}" xr6:coauthVersionLast="47" xr6:coauthVersionMax="47" xr10:uidLastSave="{00000000-0000-0000-0000-000000000000}"/>
  <bookViews>
    <workbookView xWindow="-28920" yWindow="2145" windowWidth="29040" windowHeight="15195" xr2:uid="{00000000-000D-0000-FFFF-FFFF00000000}"/>
  </bookViews>
  <sheets>
    <sheet name="README" sheetId="1" r:id="rId1"/>
    <sheet name="연간_10년" sheetId="2" r:id="rId2"/>
    <sheet name="SK하이닉스_분기" sheetId="3" r:id="rId3"/>
    <sheet name="삼성전자_분기" sheetId="4" r:id="rId4"/>
    <sheet name="마이크론_분기" sheetId="5" r:id="rId5"/>
    <sheet name="그래프_연간" sheetId="6" r:id="rId6"/>
    <sheet name="그래프_분기" sheetId="7" r:id="rId7"/>
  </sheets>
  <definedNames>
    <definedName name="_xlnm.Print_Area" localSheetId="1">연간_10년!$A$1:$AH$24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8" i="5" l="1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O27" i="5"/>
  <c r="U13" i="7" s="1"/>
  <c r="AN27" i="5"/>
  <c r="T13" i="7" s="1"/>
  <c r="AM27" i="5"/>
  <c r="S13" i="7" s="1"/>
  <c r="AL27" i="5"/>
  <c r="R13" i="7" s="1"/>
  <c r="AK27" i="5"/>
  <c r="Q13" i="7" s="1"/>
  <c r="AJ27" i="5"/>
  <c r="P13" i="7" s="1"/>
  <c r="AI27" i="5"/>
  <c r="O13" i="7" s="1"/>
  <c r="AH27" i="5"/>
  <c r="N13" i="7" s="1"/>
  <c r="AG27" i="5"/>
  <c r="M13" i="7" s="1"/>
  <c r="AF27" i="5"/>
  <c r="L13" i="7" s="1"/>
  <c r="AE27" i="5"/>
  <c r="K13" i="7" s="1"/>
  <c r="AD27" i="5"/>
  <c r="J13" i="7" s="1"/>
  <c r="AC27" i="5"/>
  <c r="I13" i="7" s="1"/>
  <c r="AB27" i="5"/>
  <c r="H13" i="7" s="1"/>
  <c r="AA27" i="5"/>
  <c r="G13" i="7" s="1"/>
  <c r="Z27" i="5"/>
  <c r="F13" i="7" s="1"/>
  <c r="Y27" i="5"/>
  <c r="E13" i="7" s="1"/>
  <c r="X27" i="5"/>
  <c r="D13" i="7" s="1"/>
  <c r="W27" i="5"/>
  <c r="C13" i="7" s="1"/>
  <c r="V27" i="5"/>
  <c r="B13" i="7" s="1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O26" i="5"/>
  <c r="U14" i="7" s="1"/>
  <c r="U25" i="7" s="1"/>
  <c r="AN26" i="5"/>
  <c r="T14" i="7" s="1"/>
  <c r="T25" i="7" s="1"/>
  <c r="AM26" i="5"/>
  <c r="S14" i="7" s="1"/>
  <c r="S25" i="7" s="1"/>
  <c r="AL26" i="5"/>
  <c r="R14" i="7" s="1"/>
  <c r="R25" i="7" s="1"/>
  <c r="AK26" i="5"/>
  <c r="Q14" i="7" s="1"/>
  <c r="Q25" i="7" s="1"/>
  <c r="AJ26" i="5"/>
  <c r="P14" i="7" s="1"/>
  <c r="P25" i="7" s="1"/>
  <c r="AI26" i="5"/>
  <c r="O14" i="7" s="1"/>
  <c r="O25" i="7" s="1"/>
  <c r="AH26" i="5"/>
  <c r="N14" i="7" s="1"/>
  <c r="N25" i="7" s="1"/>
  <c r="AG26" i="5"/>
  <c r="M14" i="7" s="1"/>
  <c r="M25" i="7" s="1"/>
  <c r="AF26" i="5"/>
  <c r="L14" i="7" s="1"/>
  <c r="L25" i="7" s="1"/>
  <c r="AE26" i="5"/>
  <c r="K14" i="7" s="1"/>
  <c r="K25" i="7" s="1"/>
  <c r="AD26" i="5"/>
  <c r="J14" i="7" s="1"/>
  <c r="J25" i="7" s="1"/>
  <c r="AC26" i="5"/>
  <c r="I14" i="7" s="1"/>
  <c r="I25" i="7" s="1"/>
  <c r="AB26" i="5"/>
  <c r="H14" i="7" s="1"/>
  <c r="H25" i="7" s="1"/>
  <c r="AA26" i="5"/>
  <c r="G14" i="7" s="1"/>
  <c r="G25" i="7" s="1"/>
  <c r="Z26" i="5"/>
  <c r="F14" i="7" s="1"/>
  <c r="F25" i="7" s="1"/>
  <c r="Y26" i="5"/>
  <c r="E14" i="7" s="1"/>
  <c r="E25" i="7" s="1"/>
  <c r="X26" i="5"/>
  <c r="D14" i="7" s="1"/>
  <c r="D25" i="7" s="1"/>
  <c r="W26" i="5"/>
  <c r="C14" i="7" s="1"/>
  <c r="C25" i="7" s="1"/>
  <c r="V26" i="5"/>
  <c r="B14" i="7" s="1"/>
  <c r="B25" i="7" s="1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O19" i="5"/>
  <c r="U15" i="7" s="1"/>
  <c r="U21" i="7" s="1"/>
  <c r="AN19" i="5"/>
  <c r="T15" i="7" s="1"/>
  <c r="T21" i="7" s="1"/>
  <c r="AM19" i="5"/>
  <c r="S15" i="7" s="1"/>
  <c r="S21" i="7" s="1"/>
  <c r="AL19" i="5"/>
  <c r="R15" i="7" s="1"/>
  <c r="R21" i="7" s="1"/>
  <c r="AK19" i="5"/>
  <c r="Q15" i="7" s="1"/>
  <c r="Q21" i="7" s="1"/>
  <c r="AJ19" i="5"/>
  <c r="P15" i="7" s="1"/>
  <c r="P21" i="7" s="1"/>
  <c r="AI19" i="5"/>
  <c r="O15" i="7" s="1"/>
  <c r="O21" i="7" s="1"/>
  <c r="AH19" i="5"/>
  <c r="N15" i="7" s="1"/>
  <c r="N21" i="7" s="1"/>
  <c r="AG19" i="5"/>
  <c r="M15" i="7" s="1"/>
  <c r="M21" i="7" s="1"/>
  <c r="AF19" i="5"/>
  <c r="L15" i="7" s="1"/>
  <c r="L21" i="7" s="1"/>
  <c r="AE19" i="5"/>
  <c r="K15" i="7" s="1"/>
  <c r="K21" i="7" s="1"/>
  <c r="AD19" i="5"/>
  <c r="J15" i="7" s="1"/>
  <c r="J21" i="7" s="1"/>
  <c r="AC19" i="5"/>
  <c r="I15" i="7" s="1"/>
  <c r="I21" i="7" s="1"/>
  <c r="AB19" i="5"/>
  <c r="H15" i="7" s="1"/>
  <c r="H21" i="7" s="1"/>
  <c r="AA19" i="5"/>
  <c r="G15" i="7" s="1"/>
  <c r="G21" i="7" s="1"/>
  <c r="Z19" i="5"/>
  <c r="F15" i="7" s="1"/>
  <c r="F21" i="7" s="1"/>
  <c r="Y19" i="5"/>
  <c r="E15" i="7" s="1"/>
  <c r="E21" i="7" s="1"/>
  <c r="X19" i="5"/>
  <c r="D15" i="7" s="1"/>
  <c r="D21" i="7" s="1"/>
  <c r="W19" i="5"/>
  <c r="C15" i="7" s="1"/>
  <c r="C21" i="7" s="1"/>
  <c r="V19" i="5"/>
  <c r="B15" i="7" s="1"/>
  <c r="B21" i="7" s="1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O11" i="5"/>
  <c r="U16" i="7" s="1"/>
  <c r="U29" i="7" s="1"/>
  <c r="AN11" i="5"/>
  <c r="T16" i="7" s="1"/>
  <c r="T29" i="7" s="1"/>
  <c r="AM11" i="5"/>
  <c r="S16" i="7" s="1"/>
  <c r="S29" i="7" s="1"/>
  <c r="AL11" i="5"/>
  <c r="R16" i="7" s="1"/>
  <c r="R29" i="7" s="1"/>
  <c r="AK11" i="5"/>
  <c r="Q16" i="7" s="1"/>
  <c r="Q29" i="7" s="1"/>
  <c r="AJ11" i="5"/>
  <c r="P16" i="7" s="1"/>
  <c r="P29" i="7" s="1"/>
  <c r="AI11" i="5"/>
  <c r="O16" i="7" s="1"/>
  <c r="O29" i="7" s="1"/>
  <c r="AH11" i="5"/>
  <c r="N16" i="7" s="1"/>
  <c r="N29" i="7" s="1"/>
  <c r="AG11" i="5"/>
  <c r="M16" i="7" s="1"/>
  <c r="M29" i="7" s="1"/>
  <c r="AF11" i="5"/>
  <c r="L16" i="7" s="1"/>
  <c r="L29" i="7" s="1"/>
  <c r="AE11" i="5"/>
  <c r="K16" i="7" s="1"/>
  <c r="K29" i="7" s="1"/>
  <c r="AD11" i="5"/>
  <c r="J16" i="7" s="1"/>
  <c r="J29" i="7" s="1"/>
  <c r="AC11" i="5"/>
  <c r="I16" i="7" s="1"/>
  <c r="I29" i="7" s="1"/>
  <c r="AB11" i="5"/>
  <c r="H16" i="7" s="1"/>
  <c r="H29" i="7" s="1"/>
  <c r="AA11" i="5"/>
  <c r="G16" i="7" s="1"/>
  <c r="G29" i="7" s="1"/>
  <c r="Z11" i="5"/>
  <c r="F16" i="7" s="1"/>
  <c r="F29" i="7" s="1"/>
  <c r="Y11" i="5"/>
  <c r="E16" i="7" s="1"/>
  <c r="E29" i="7" s="1"/>
  <c r="X11" i="5"/>
  <c r="D16" i="7" s="1"/>
  <c r="D29" i="7" s="1"/>
  <c r="W11" i="5"/>
  <c r="C16" i="7" s="1"/>
  <c r="C29" i="7" s="1"/>
  <c r="V11" i="5"/>
  <c r="B16" i="7" s="1"/>
  <c r="B29" i="7" s="1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U27" i="4"/>
  <c r="U9" i="7" s="1"/>
  <c r="T27" i="4"/>
  <c r="T9" i="7" s="1"/>
  <c r="S27" i="4"/>
  <c r="S9" i="7" s="1"/>
  <c r="R27" i="4"/>
  <c r="R9" i="7" s="1"/>
  <c r="Q27" i="4"/>
  <c r="Q9" i="7" s="1"/>
  <c r="P27" i="4"/>
  <c r="P9" i="7" s="1"/>
  <c r="O27" i="4"/>
  <c r="O9" i="7" s="1"/>
  <c r="N27" i="4"/>
  <c r="N9" i="7" s="1"/>
  <c r="M27" i="4"/>
  <c r="M9" i="7" s="1"/>
  <c r="L27" i="4"/>
  <c r="L9" i="7" s="1"/>
  <c r="K27" i="4"/>
  <c r="K9" i="7" s="1"/>
  <c r="J27" i="4"/>
  <c r="J9" i="7" s="1"/>
  <c r="I27" i="4"/>
  <c r="I9" i="7" s="1"/>
  <c r="H27" i="4"/>
  <c r="H9" i="7" s="1"/>
  <c r="G27" i="4"/>
  <c r="G9" i="7" s="1"/>
  <c r="F27" i="4"/>
  <c r="F9" i="7" s="1"/>
  <c r="E27" i="4"/>
  <c r="E9" i="7" s="1"/>
  <c r="D27" i="4"/>
  <c r="D9" i="7" s="1"/>
  <c r="C27" i="4"/>
  <c r="C9" i="7" s="1"/>
  <c r="B27" i="4"/>
  <c r="B9" i="7" s="1"/>
  <c r="U26" i="4"/>
  <c r="U10" i="7" s="1"/>
  <c r="U24" i="7" s="1"/>
  <c r="T26" i="4"/>
  <c r="T10" i="7" s="1"/>
  <c r="T24" i="7" s="1"/>
  <c r="S26" i="4"/>
  <c r="S10" i="7" s="1"/>
  <c r="S24" i="7" s="1"/>
  <c r="R26" i="4"/>
  <c r="R10" i="7" s="1"/>
  <c r="R24" i="7" s="1"/>
  <c r="Q26" i="4"/>
  <c r="Q10" i="7" s="1"/>
  <c r="Q24" i="7" s="1"/>
  <c r="P26" i="4"/>
  <c r="P10" i="7" s="1"/>
  <c r="P24" i="7" s="1"/>
  <c r="O26" i="4"/>
  <c r="O10" i="7" s="1"/>
  <c r="O24" i="7" s="1"/>
  <c r="N26" i="4"/>
  <c r="N10" i="7" s="1"/>
  <c r="N24" i="7" s="1"/>
  <c r="M26" i="4"/>
  <c r="M10" i="7" s="1"/>
  <c r="M24" i="7" s="1"/>
  <c r="L26" i="4"/>
  <c r="L10" i="7" s="1"/>
  <c r="L24" i="7" s="1"/>
  <c r="K26" i="4"/>
  <c r="K10" i="7" s="1"/>
  <c r="K24" i="7" s="1"/>
  <c r="J26" i="4"/>
  <c r="J10" i="7" s="1"/>
  <c r="J24" i="7" s="1"/>
  <c r="I26" i="4"/>
  <c r="I10" i="7" s="1"/>
  <c r="I24" i="7" s="1"/>
  <c r="H26" i="4"/>
  <c r="H10" i="7" s="1"/>
  <c r="H24" i="7" s="1"/>
  <c r="G26" i="4"/>
  <c r="G10" i="7" s="1"/>
  <c r="G24" i="7" s="1"/>
  <c r="F26" i="4"/>
  <c r="F10" i="7" s="1"/>
  <c r="F24" i="7" s="1"/>
  <c r="E26" i="4"/>
  <c r="E10" i="7" s="1"/>
  <c r="E24" i="7" s="1"/>
  <c r="D26" i="4"/>
  <c r="D10" i="7" s="1"/>
  <c r="D24" i="7" s="1"/>
  <c r="C26" i="4"/>
  <c r="C10" i="7" s="1"/>
  <c r="C24" i="7" s="1"/>
  <c r="B26" i="4"/>
  <c r="B10" i="7" s="1"/>
  <c r="B24" i="7" s="1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U19" i="4"/>
  <c r="U11" i="7" s="1"/>
  <c r="U20" i="7" s="1"/>
  <c r="T19" i="4"/>
  <c r="T11" i="7" s="1"/>
  <c r="T20" i="7" s="1"/>
  <c r="S19" i="4"/>
  <c r="S11" i="7" s="1"/>
  <c r="S20" i="7" s="1"/>
  <c r="R19" i="4"/>
  <c r="R11" i="7" s="1"/>
  <c r="R20" i="7" s="1"/>
  <c r="Q19" i="4"/>
  <c r="Q11" i="7" s="1"/>
  <c r="Q20" i="7" s="1"/>
  <c r="P19" i="4"/>
  <c r="P11" i="7" s="1"/>
  <c r="P20" i="7" s="1"/>
  <c r="O19" i="4"/>
  <c r="O11" i="7" s="1"/>
  <c r="O20" i="7" s="1"/>
  <c r="N19" i="4"/>
  <c r="N11" i="7" s="1"/>
  <c r="N20" i="7" s="1"/>
  <c r="M19" i="4"/>
  <c r="M11" i="7" s="1"/>
  <c r="M20" i="7" s="1"/>
  <c r="L19" i="4"/>
  <c r="L11" i="7" s="1"/>
  <c r="L20" i="7" s="1"/>
  <c r="K19" i="4"/>
  <c r="K11" i="7" s="1"/>
  <c r="K20" i="7" s="1"/>
  <c r="J19" i="4"/>
  <c r="J11" i="7" s="1"/>
  <c r="J20" i="7" s="1"/>
  <c r="I19" i="4"/>
  <c r="I11" i="7" s="1"/>
  <c r="I20" i="7" s="1"/>
  <c r="H19" i="4"/>
  <c r="H11" i="7" s="1"/>
  <c r="H20" i="7" s="1"/>
  <c r="G19" i="4"/>
  <c r="G11" i="7" s="1"/>
  <c r="G20" i="7" s="1"/>
  <c r="F19" i="4"/>
  <c r="F11" i="7" s="1"/>
  <c r="F20" i="7" s="1"/>
  <c r="E19" i="4"/>
  <c r="E11" i="7" s="1"/>
  <c r="E20" i="7" s="1"/>
  <c r="D19" i="4"/>
  <c r="D11" i="7" s="1"/>
  <c r="D20" i="7" s="1"/>
  <c r="C19" i="4"/>
  <c r="C11" i="7" s="1"/>
  <c r="C20" i="7" s="1"/>
  <c r="B19" i="4"/>
  <c r="B11" i="7" s="1"/>
  <c r="B20" i="7" s="1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U11" i="4"/>
  <c r="U12" i="7" s="1"/>
  <c r="U28" i="7" s="1"/>
  <c r="T11" i="4"/>
  <c r="T12" i="7" s="1"/>
  <c r="T28" i="7" s="1"/>
  <c r="S11" i="4"/>
  <c r="S12" i="7" s="1"/>
  <c r="S28" i="7" s="1"/>
  <c r="R11" i="4"/>
  <c r="R12" i="7" s="1"/>
  <c r="R28" i="7" s="1"/>
  <c r="Q11" i="4"/>
  <c r="Q12" i="7" s="1"/>
  <c r="Q28" i="7" s="1"/>
  <c r="P11" i="4"/>
  <c r="P12" i="7" s="1"/>
  <c r="P28" i="7" s="1"/>
  <c r="O11" i="4"/>
  <c r="O12" i="7" s="1"/>
  <c r="O28" i="7" s="1"/>
  <c r="N11" i="4"/>
  <c r="N12" i="7" s="1"/>
  <c r="N28" i="7" s="1"/>
  <c r="M11" i="4"/>
  <c r="M12" i="7" s="1"/>
  <c r="M28" i="7" s="1"/>
  <c r="L11" i="4"/>
  <c r="L12" i="7" s="1"/>
  <c r="L28" i="7" s="1"/>
  <c r="K11" i="4"/>
  <c r="K12" i="7" s="1"/>
  <c r="K28" i="7" s="1"/>
  <c r="J11" i="4"/>
  <c r="J12" i="7" s="1"/>
  <c r="J28" i="7" s="1"/>
  <c r="I11" i="4"/>
  <c r="I12" i="7" s="1"/>
  <c r="I28" i="7" s="1"/>
  <c r="H11" i="4"/>
  <c r="H12" i="7" s="1"/>
  <c r="H28" i="7" s="1"/>
  <c r="G11" i="4"/>
  <c r="G12" i="7" s="1"/>
  <c r="G28" i="7" s="1"/>
  <c r="F11" i="4"/>
  <c r="F12" i="7" s="1"/>
  <c r="F28" i="7" s="1"/>
  <c r="E11" i="4"/>
  <c r="E12" i="7" s="1"/>
  <c r="E28" i="7" s="1"/>
  <c r="D11" i="4"/>
  <c r="D12" i="7" s="1"/>
  <c r="D28" i="7" s="1"/>
  <c r="C11" i="4"/>
  <c r="C12" i="7" s="1"/>
  <c r="C28" i="7" s="1"/>
  <c r="B11" i="4"/>
  <c r="B12" i="7" s="1"/>
  <c r="B28" i="7" s="1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U27" i="3"/>
  <c r="U5" i="7" s="1"/>
  <c r="T27" i="3"/>
  <c r="T5" i="7" s="1"/>
  <c r="S27" i="3"/>
  <c r="S5" i="7" s="1"/>
  <c r="R27" i="3"/>
  <c r="R5" i="7" s="1"/>
  <c r="Q27" i="3"/>
  <c r="Q5" i="7" s="1"/>
  <c r="P27" i="3"/>
  <c r="P5" i="7" s="1"/>
  <c r="O27" i="3"/>
  <c r="O5" i="7" s="1"/>
  <c r="N27" i="3"/>
  <c r="N5" i="7" s="1"/>
  <c r="M27" i="3"/>
  <c r="M5" i="7" s="1"/>
  <c r="L27" i="3"/>
  <c r="L5" i="7" s="1"/>
  <c r="K27" i="3"/>
  <c r="K5" i="7" s="1"/>
  <c r="J27" i="3"/>
  <c r="J5" i="7" s="1"/>
  <c r="I27" i="3"/>
  <c r="I5" i="7" s="1"/>
  <c r="H27" i="3"/>
  <c r="H5" i="7" s="1"/>
  <c r="G27" i="3"/>
  <c r="G5" i="7" s="1"/>
  <c r="F27" i="3"/>
  <c r="F5" i="7" s="1"/>
  <c r="E27" i="3"/>
  <c r="E5" i="7" s="1"/>
  <c r="D27" i="3"/>
  <c r="D5" i="7" s="1"/>
  <c r="C27" i="3"/>
  <c r="C5" i="7" s="1"/>
  <c r="B27" i="3"/>
  <c r="B5" i="7" s="1"/>
  <c r="U26" i="3"/>
  <c r="U6" i="7" s="1"/>
  <c r="U23" i="7" s="1"/>
  <c r="T26" i="3"/>
  <c r="T6" i="7" s="1"/>
  <c r="T23" i="7" s="1"/>
  <c r="S26" i="3"/>
  <c r="S6" i="7" s="1"/>
  <c r="S23" i="7" s="1"/>
  <c r="R26" i="3"/>
  <c r="R6" i="7" s="1"/>
  <c r="R23" i="7" s="1"/>
  <c r="Q26" i="3"/>
  <c r="Q6" i="7" s="1"/>
  <c r="Q23" i="7" s="1"/>
  <c r="P26" i="3"/>
  <c r="P6" i="7" s="1"/>
  <c r="P23" i="7" s="1"/>
  <c r="O26" i="3"/>
  <c r="O6" i="7" s="1"/>
  <c r="O23" i="7" s="1"/>
  <c r="N26" i="3"/>
  <c r="N6" i="7" s="1"/>
  <c r="N23" i="7" s="1"/>
  <c r="M26" i="3"/>
  <c r="M6" i="7" s="1"/>
  <c r="M23" i="7" s="1"/>
  <c r="L26" i="3"/>
  <c r="L6" i="7" s="1"/>
  <c r="L23" i="7" s="1"/>
  <c r="K26" i="3"/>
  <c r="K6" i="7" s="1"/>
  <c r="K23" i="7" s="1"/>
  <c r="J26" i="3"/>
  <c r="J6" i="7" s="1"/>
  <c r="J23" i="7" s="1"/>
  <c r="I26" i="3"/>
  <c r="I6" i="7" s="1"/>
  <c r="I23" i="7" s="1"/>
  <c r="H26" i="3"/>
  <c r="H6" i="7" s="1"/>
  <c r="H23" i="7" s="1"/>
  <c r="G26" i="3"/>
  <c r="G6" i="7" s="1"/>
  <c r="G23" i="7" s="1"/>
  <c r="F26" i="3"/>
  <c r="F6" i="7" s="1"/>
  <c r="F23" i="7" s="1"/>
  <c r="E26" i="3"/>
  <c r="E6" i="7" s="1"/>
  <c r="E23" i="7" s="1"/>
  <c r="D26" i="3"/>
  <c r="D6" i="7" s="1"/>
  <c r="D23" i="7" s="1"/>
  <c r="C26" i="3"/>
  <c r="C6" i="7" s="1"/>
  <c r="C23" i="7" s="1"/>
  <c r="B26" i="3"/>
  <c r="B6" i="7" s="1"/>
  <c r="B23" i="7" s="1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U19" i="3"/>
  <c r="U7" i="7" s="1"/>
  <c r="U19" i="7" s="1"/>
  <c r="T19" i="3"/>
  <c r="T7" i="7" s="1"/>
  <c r="T19" i="7" s="1"/>
  <c r="S19" i="3"/>
  <c r="S7" i="7" s="1"/>
  <c r="S19" i="7" s="1"/>
  <c r="R19" i="3"/>
  <c r="R7" i="7" s="1"/>
  <c r="R19" i="7" s="1"/>
  <c r="Q19" i="3"/>
  <c r="Q7" i="7" s="1"/>
  <c r="Q19" i="7" s="1"/>
  <c r="P19" i="3"/>
  <c r="P7" i="7" s="1"/>
  <c r="P19" i="7" s="1"/>
  <c r="O19" i="3"/>
  <c r="O7" i="7" s="1"/>
  <c r="O19" i="7" s="1"/>
  <c r="N19" i="3"/>
  <c r="N7" i="7" s="1"/>
  <c r="N19" i="7" s="1"/>
  <c r="M19" i="3"/>
  <c r="M7" i="7" s="1"/>
  <c r="M19" i="7" s="1"/>
  <c r="L19" i="3"/>
  <c r="L7" i="7" s="1"/>
  <c r="L19" i="7" s="1"/>
  <c r="K19" i="3"/>
  <c r="K7" i="7" s="1"/>
  <c r="K19" i="7" s="1"/>
  <c r="J19" i="3"/>
  <c r="J7" i="7" s="1"/>
  <c r="J19" i="7" s="1"/>
  <c r="I19" i="3"/>
  <c r="I7" i="7" s="1"/>
  <c r="I19" i="7" s="1"/>
  <c r="H19" i="3"/>
  <c r="H7" i="7" s="1"/>
  <c r="H19" i="7" s="1"/>
  <c r="G19" i="3"/>
  <c r="G7" i="7" s="1"/>
  <c r="G19" i="7" s="1"/>
  <c r="F19" i="3"/>
  <c r="F7" i="7" s="1"/>
  <c r="F19" i="7" s="1"/>
  <c r="E19" i="3"/>
  <c r="E7" i="7" s="1"/>
  <c r="E19" i="7" s="1"/>
  <c r="D19" i="3"/>
  <c r="D7" i="7" s="1"/>
  <c r="D19" i="7" s="1"/>
  <c r="C19" i="3"/>
  <c r="C7" i="7" s="1"/>
  <c r="C19" i="7" s="1"/>
  <c r="B19" i="3"/>
  <c r="B7" i="7" s="1"/>
  <c r="B19" i="7" s="1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U11" i="3"/>
  <c r="U8" i="7" s="1"/>
  <c r="U27" i="7" s="1"/>
  <c r="T11" i="3"/>
  <c r="T8" i="7" s="1"/>
  <c r="T27" i="7" s="1"/>
  <c r="S11" i="3"/>
  <c r="S8" i="7" s="1"/>
  <c r="S27" i="7" s="1"/>
  <c r="R11" i="3"/>
  <c r="R8" i="7" s="1"/>
  <c r="R27" i="7" s="1"/>
  <c r="Q11" i="3"/>
  <c r="Q8" i="7" s="1"/>
  <c r="Q27" i="7" s="1"/>
  <c r="P11" i="3"/>
  <c r="P8" i="7" s="1"/>
  <c r="P27" i="7" s="1"/>
  <c r="O11" i="3"/>
  <c r="O8" i="7" s="1"/>
  <c r="O27" i="7" s="1"/>
  <c r="N11" i="3"/>
  <c r="N8" i="7" s="1"/>
  <c r="N27" i="7" s="1"/>
  <c r="M11" i="3"/>
  <c r="M8" i="7" s="1"/>
  <c r="M27" i="7" s="1"/>
  <c r="L11" i="3"/>
  <c r="L8" i="7" s="1"/>
  <c r="L27" i="7" s="1"/>
  <c r="K11" i="3"/>
  <c r="K8" i="7" s="1"/>
  <c r="K27" i="7" s="1"/>
  <c r="J11" i="3"/>
  <c r="J8" i="7" s="1"/>
  <c r="J27" i="7" s="1"/>
  <c r="I11" i="3"/>
  <c r="I8" i="7" s="1"/>
  <c r="I27" i="7" s="1"/>
  <c r="H11" i="3"/>
  <c r="H8" i="7" s="1"/>
  <c r="H27" i="7" s="1"/>
  <c r="G11" i="3"/>
  <c r="G8" i="7" s="1"/>
  <c r="G27" i="7" s="1"/>
  <c r="F11" i="3"/>
  <c r="F8" i="7" s="1"/>
  <c r="F27" i="7" s="1"/>
  <c r="E11" i="3"/>
  <c r="E8" i="7" s="1"/>
  <c r="E27" i="7" s="1"/>
  <c r="D11" i="3"/>
  <c r="D8" i="7" s="1"/>
  <c r="D27" i="7" s="1"/>
  <c r="C11" i="3"/>
  <c r="C8" i="7" s="1"/>
  <c r="C27" i="7" s="1"/>
  <c r="B11" i="3"/>
  <c r="B8" i="7" s="1"/>
  <c r="B27" i="7" s="1"/>
  <c r="Z22" i="2"/>
  <c r="Y22" i="2"/>
  <c r="V22" i="2"/>
  <c r="U22" i="2"/>
  <c r="T22" i="2"/>
  <c r="S22" i="2"/>
  <c r="Q22" i="2"/>
  <c r="AG21" i="2"/>
  <c r="AF21" i="2"/>
  <c r="AE21" i="2"/>
  <c r="AD21" i="2"/>
  <c r="AC21" i="2"/>
  <c r="AB21" i="2"/>
  <c r="AA21" i="2"/>
  <c r="Z21" i="2"/>
  <c r="Y21" i="2"/>
  <c r="X21" i="2"/>
  <c r="V21" i="2"/>
  <c r="U21" i="2"/>
  <c r="T21" i="2"/>
  <c r="S21" i="2"/>
  <c r="R21" i="2"/>
  <c r="Q21" i="2"/>
  <c r="P21" i="2"/>
  <c r="O21" i="2"/>
  <c r="N21" i="2"/>
  <c r="M21" i="2"/>
  <c r="K21" i="2"/>
  <c r="J21" i="2"/>
  <c r="I21" i="2"/>
  <c r="H21" i="2"/>
  <c r="G21" i="2"/>
  <c r="F21" i="2"/>
  <c r="E21" i="2"/>
  <c r="D21" i="2"/>
  <c r="C21" i="2"/>
  <c r="B21" i="2"/>
  <c r="AG20" i="2"/>
  <c r="AF20" i="2"/>
  <c r="AD20" i="2"/>
  <c r="Q20" i="2"/>
  <c r="P20" i="2"/>
  <c r="O20" i="2"/>
  <c r="M20" i="2"/>
  <c r="AD19" i="2"/>
  <c r="H16" i="6" s="1"/>
  <c r="H29" i="6" s="1"/>
  <c r="AB19" i="2"/>
  <c r="F16" i="6" s="1"/>
  <c r="F29" i="6" s="1"/>
  <c r="M19" i="2"/>
  <c r="B12" i="6" s="1"/>
  <c r="B28" i="6" s="1"/>
  <c r="J19" i="2"/>
  <c r="J8" i="6" s="1"/>
  <c r="J27" i="6" s="1"/>
  <c r="AC18" i="2"/>
  <c r="Z18" i="2"/>
  <c r="P18" i="2"/>
  <c r="K18" i="2"/>
  <c r="H18" i="2"/>
  <c r="Z17" i="2"/>
  <c r="D15" i="6" s="1"/>
  <c r="D21" i="6" s="1"/>
  <c r="X17" i="2"/>
  <c r="B15" i="6" s="1"/>
  <c r="B21" i="6" s="1"/>
  <c r="H17" i="2"/>
  <c r="H7" i="6" s="1"/>
  <c r="H19" i="6" s="1"/>
  <c r="F17" i="2"/>
  <c r="F7" i="6" s="1"/>
  <c r="F19" i="6" s="1"/>
  <c r="AG15" i="2"/>
  <c r="AF15" i="2"/>
  <c r="AE15" i="2"/>
  <c r="AE20" i="2" s="1"/>
  <c r="AD15" i="2"/>
  <c r="AC15" i="2"/>
  <c r="AB15" i="2"/>
  <c r="AA15" i="2"/>
  <c r="Z15" i="2"/>
  <c r="Y15" i="2"/>
  <c r="X15" i="2"/>
  <c r="V15" i="2"/>
  <c r="U15" i="2"/>
  <c r="T15" i="2"/>
  <c r="T20" i="2" s="1"/>
  <c r="S15" i="2"/>
  <c r="R15" i="2"/>
  <c r="Q15" i="2"/>
  <c r="P15" i="2"/>
  <c r="O15" i="2"/>
  <c r="N15" i="2"/>
  <c r="N20" i="2" s="1"/>
  <c r="M15" i="2"/>
  <c r="K15" i="2"/>
  <c r="J15" i="2"/>
  <c r="I15" i="2"/>
  <c r="H15" i="2"/>
  <c r="G15" i="2"/>
  <c r="F15" i="2"/>
  <c r="E15" i="2"/>
  <c r="D15" i="2"/>
  <c r="C15" i="2"/>
  <c r="C20" i="2" s="1"/>
  <c r="B15" i="2"/>
  <c r="AG14" i="2"/>
  <c r="K14" i="6" s="1"/>
  <c r="K25" i="6" s="1"/>
  <c r="AF14" i="2"/>
  <c r="J14" i="6" s="1"/>
  <c r="J25" i="6" s="1"/>
  <c r="AE14" i="2"/>
  <c r="I14" i="6" s="1"/>
  <c r="I25" i="6" s="1"/>
  <c r="AD14" i="2"/>
  <c r="H14" i="6" s="1"/>
  <c r="H25" i="6" s="1"/>
  <c r="AC14" i="2"/>
  <c r="G14" i="6" s="1"/>
  <c r="G25" i="6" s="1"/>
  <c r="AB14" i="2"/>
  <c r="AA14" i="2"/>
  <c r="Z14" i="2"/>
  <c r="Y14" i="2"/>
  <c r="X14" i="2"/>
  <c r="V14" i="2"/>
  <c r="U14" i="2"/>
  <c r="J10" i="6" s="1"/>
  <c r="J24" i="6" s="1"/>
  <c r="T14" i="2"/>
  <c r="I10" i="6" s="1"/>
  <c r="I24" i="6" s="1"/>
  <c r="S14" i="2"/>
  <c r="R14" i="2"/>
  <c r="G10" i="6" s="1"/>
  <c r="G24" i="6" s="1"/>
  <c r="Q14" i="2"/>
  <c r="F10" i="6" s="1"/>
  <c r="F24" i="6" s="1"/>
  <c r="P14" i="2"/>
  <c r="E10" i="6" s="1"/>
  <c r="E24" i="6" s="1"/>
  <c r="O14" i="2"/>
  <c r="D10" i="6" s="1"/>
  <c r="D24" i="6" s="1"/>
  <c r="N14" i="2"/>
  <c r="C10" i="6" s="1"/>
  <c r="C24" i="6" s="1"/>
  <c r="M14" i="2"/>
  <c r="B10" i="6" s="1"/>
  <c r="B24" i="6" s="1"/>
  <c r="K14" i="2"/>
  <c r="K6" i="6" s="1"/>
  <c r="K23" i="6" s="1"/>
  <c r="J14" i="2"/>
  <c r="I14" i="2"/>
  <c r="H14" i="2"/>
  <c r="G14" i="2"/>
  <c r="F14" i="2"/>
  <c r="E14" i="2"/>
  <c r="D14" i="2"/>
  <c r="D6" i="6" s="1"/>
  <c r="D23" i="6" s="1"/>
  <c r="C14" i="2"/>
  <c r="C6" i="6" s="1"/>
  <c r="C23" i="6" s="1"/>
  <c r="B14" i="2"/>
  <c r="AG13" i="2"/>
  <c r="AG19" i="2" s="1"/>
  <c r="K16" i="6" s="1"/>
  <c r="K29" i="6" s="1"/>
  <c r="AF13" i="2"/>
  <c r="AE13" i="2"/>
  <c r="AD13" i="2"/>
  <c r="AC13" i="2"/>
  <c r="AB13" i="2"/>
  <c r="AB22" i="2" s="1"/>
  <c r="AA13" i="2"/>
  <c r="AA22" i="2" s="1"/>
  <c r="Z13" i="2"/>
  <c r="Y13" i="2"/>
  <c r="X13" i="2"/>
  <c r="V13" i="2"/>
  <c r="U13" i="2"/>
  <c r="U19" i="2" s="1"/>
  <c r="J12" i="6" s="1"/>
  <c r="J28" i="6" s="1"/>
  <c r="T13" i="2"/>
  <c r="S13" i="2"/>
  <c r="R13" i="2"/>
  <c r="Q13" i="2"/>
  <c r="P13" i="2"/>
  <c r="P22" i="2" s="1"/>
  <c r="O13" i="2"/>
  <c r="N13" i="2"/>
  <c r="M13" i="2"/>
  <c r="K13" i="2"/>
  <c r="J13" i="2"/>
  <c r="J22" i="2" s="1"/>
  <c r="I13" i="2"/>
  <c r="I22" i="2" s="1"/>
  <c r="H13" i="2"/>
  <c r="H22" i="2" s="1"/>
  <c r="G13" i="2"/>
  <c r="F13" i="2"/>
  <c r="E13" i="2"/>
  <c r="D13" i="2"/>
  <c r="D22" i="2" s="1"/>
  <c r="C13" i="2"/>
  <c r="C22" i="2" s="1"/>
  <c r="B13" i="2"/>
  <c r="AG12" i="2"/>
  <c r="AF12" i="2"/>
  <c r="AE12" i="2"/>
  <c r="AE22" i="2" s="1"/>
  <c r="AD12" i="2"/>
  <c r="AD22" i="2" s="1"/>
  <c r="AC12" i="2"/>
  <c r="AC19" i="2" s="1"/>
  <c r="G16" i="6" s="1"/>
  <c r="G29" i="6" s="1"/>
  <c r="AB12" i="2"/>
  <c r="AA12" i="2"/>
  <c r="Z12" i="2"/>
  <c r="Z19" i="2" s="1"/>
  <c r="D16" i="6" s="1"/>
  <c r="D29" i="6" s="1"/>
  <c r="Y12" i="2"/>
  <c r="Y19" i="2" s="1"/>
  <c r="C16" i="6" s="1"/>
  <c r="C29" i="6" s="1"/>
  <c r="X12" i="2"/>
  <c r="V12" i="2"/>
  <c r="U12" i="2"/>
  <c r="U18" i="2" s="1"/>
  <c r="T12" i="2"/>
  <c r="S12" i="2"/>
  <c r="S18" i="2" s="1"/>
  <c r="R12" i="2"/>
  <c r="R19" i="2" s="1"/>
  <c r="G12" i="6" s="1"/>
  <c r="G28" i="6" s="1"/>
  <c r="Q12" i="2"/>
  <c r="Q18" i="2" s="1"/>
  <c r="P12" i="2"/>
  <c r="O12" i="2"/>
  <c r="N12" i="2"/>
  <c r="N22" i="2" s="1"/>
  <c r="M12" i="2"/>
  <c r="M22" i="2" s="1"/>
  <c r="K12" i="2"/>
  <c r="K19" i="2" s="1"/>
  <c r="K8" i="6" s="1"/>
  <c r="K27" i="6" s="1"/>
  <c r="J12" i="2"/>
  <c r="I12" i="2"/>
  <c r="H12" i="2"/>
  <c r="H19" i="2" s="1"/>
  <c r="H8" i="6" s="1"/>
  <c r="H27" i="6" s="1"/>
  <c r="G12" i="2"/>
  <c r="G19" i="2" s="1"/>
  <c r="G8" i="6" s="1"/>
  <c r="G27" i="6" s="1"/>
  <c r="F12" i="2"/>
  <c r="E12" i="2"/>
  <c r="D12" i="2"/>
  <c r="D18" i="2" s="1"/>
  <c r="C12" i="2"/>
  <c r="B12" i="2"/>
  <c r="B18" i="2" s="1"/>
  <c r="AG11" i="2"/>
  <c r="K13" i="6" s="1"/>
  <c r="AF11" i="2"/>
  <c r="J13" i="6" s="1"/>
  <c r="AE11" i="2"/>
  <c r="I13" i="6" s="1"/>
  <c r="AD11" i="2"/>
  <c r="AC11" i="2"/>
  <c r="G13" i="6" s="1"/>
  <c r="AB11" i="2"/>
  <c r="F13" i="6" s="1"/>
  <c r="AA11" i="2"/>
  <c r="E13" i="6" s="1"/>
  <c r="Z11" i="2"/>
  <c r="D13" i="6" s="1"/>
  <c r="Y11" i="2"/>
  <c r="C13" i="6" s="1"/>
  <c r="X11" i="2"/>
  <c r="B13" i="6" s="1"/>
  <c r="V11" i="2"/>
  <c r="K9" i="6" s="1"/>
  <c r="U11" i="2"/>
  <c r="T11" i="2"/>
  <c r="S11" i="2"/>
  <c r="S17" i="2" s="1"/>
  <c r="H11" i="6" s="1"/>
  <c r="H20" i="6" s="1"/>
  <c r="R11" i="2"/>
  <c r="Q11" i="2"/>
  <c r="P11" i="2"/>
  <c r="O11" i="2"/>
  <c r="D9" i="6" s="1"/>
  <c r="N11" i="2"/>
  <c r="C9" i="6" s="1"/>
  <c r="M11" i="2"/>
  <c r="K11" i="2"/>
  <c r="K5" i="6" s="1"/>
  <c r="J11" i="2"/>
  <c r="J5" i="6" s="1"/>
  <c r="I11" i="2"/>
  <c r="I5" i="6" s="1"/>
  <c r="H11" i="2"/>
  <c r="H5" i="6" s="1"/>
  <c r="G11" i="2"/>
  <c r="G5" i="6" s="1"/>
  <c r="F11" i="2"/>
  <c r="F5" i="6" s="1"/>
  <c r="E11" i="2"/>
  <c r="E5" i="6" s="1"/>
  <c r="D11" i="2"/>
  <c r="C11" i="2"/>
  <c r="C5" i="6" s="1"/>
  <c r="B11" i="2"/>
  <c r="B17" i="2" s="1"/>
  <c r="B7" i="6" s="1"/>
  <c r="B19" i="6" s="1"/>
  <c r="AG10" i="2"/>
  <c r="AG18" i="2" s="1"/>
  <c r="AF10" i="2"/>
  <c r="AE10" i="2"/>
  <c r="AE17" i="2" s="1"/>
  <c r="I15" i="6" s="1"/>
  <c r="I21" i="6" s="1"/>
  <c r="AD10" i="2"/>
  <c r="AD18" i="2" s="1"/>
  <c r="AC10" i="2"/>
  <c r="AB10" i="2"/>
  <c r="AB17" i="2" s="1"/>
  <c r="F15" i="6" s="1"/>
  <c r="F21" i="6" s="1"/>
  <c r="AA10" i="2"/>
  <c r="AA18" i="2" s="1"/>
  <c r="Z10" i="2"/>
  <c r="Y10" i="2"/>
  <c r="Y17" i="2" s="1"/>
  <c r="C15" i="6" s="1"/>
  <c r="C21" i="6" s="1"/>
  <c r="X10" i="2"/>
  <c r="V10" i="2"/>
  <c r="U10" i="2"/>
  <c r="T10" i="2"/>
  <c r="S10" i="2"/>
  <c r="R10" i="2"/>
  <c r="Q10" i="2"/>
  <c r="P10" i="2"/>
  <c r="O10" i="2"/>
  <c r="N10" i="2"/>
  <c r="N17" i="2" s="1"/>
  <c r="C11" i="6" s="1"/>
  <c r="C20" i="6" s="1"/>
  <c r="M10" i="2"/>
  <c r="M18" i="2" s="1"/>
  <c r="K10" i="2"/>
  <c r="J10" i="2"/>
  <c r="J18" i="2" s="1"/>
  <c r="I10" i="2"/>
  <c r="I18" i="2" s="1"/>
  <c r="H10" i="2"/>
  <c r="G10" i="2"/>
  <c r="G17" i="2" s="1"/>
  <c r="G7" i="6" s="1"/>
  <c r="G19" i="6" s="1"/>
  <c r="F10" i="2"/>
  <c r="E10" i="2"/>
  <c r="D10" i="2"/>
  <c r="C10" i="2"/>
  <c r="B10" i="2"/>
  <c r="B20" i="2" l="1"/>
  <c r="B6" i="6"/>
  <c r="B23" i="6" s="1"/>
  <c r="B9" i="6"/>
  <c r="M17" i="2"/>
  <c r="B11" i="6" s="1"/>
  <c r="B20" i="6" s="1"/>
  <c r="AF22" i="2"/>
  <c r="AF18" i="2"/>
  <c r="J17" i="2"/>
  <c r="J7" i="6" s="1"/>
  <c r="J19" i="6" s="1"/>
  <c r="C19" i="2"/>
  <c r="C8" i="6" s="1"/>
  <c r="C27" i="6" s="1"/>
  <c r="C18" i="2"/>
  <c r="G20" i="2"/>
  <c r="G6" i="6"/>
  <c r="G23" i="6" s="1"/>
  <c r="Z20" i="2"/>
  <c r="Y18" i="2"/>
  <c r="AA19" i="2"/>
  <c r="E16" i="6" s="1"/>
  <c r="E29" i="6" s="1"/>
  <c r="AC20" i="2"/>
  <c r="AG22" i="2"/>
  <c r="N18" i="2"/>
  <c r="R17" i="2"/>
  <c r="G11" i="6" s="1"/>
  <c r="G20" i="6" s="1"/>
  <c r="G9" i="6"/>
  <c r="Q19" i="2"/>
  <c r="F12" i="6" s="1"/>
  <c r="F28" i="6" s="1"/>
  <c r="V20" i="2"/>
  <c r="K10" i="6"/>
  <c r="K24" i="6" s="1"/>
  <c r="F20" i="2"/>
  <c r="F6" i="6"/>
  <c r="F23" i="6" s="1"/>
  <c r="X20" i="2"/>
  <c r="B14" i="6"/>
  <c r="B25" i="6" s="1"/>
  <c r="T18" i="2"/>
  <c r="T19" i="2"/>
  <c r="I12" i="6" s="1"/>
  <c r="I28" i="6" s="1"/>
  <c r="Y20" i="2"/>
  <c r="C14" i="6"/>
  <c r="C25" i="6" s="1"/>
  <c r="V17" i="2"/>
  <c r="K11" i="6" s="1"/>
  <c r="K20" i="6" s="1"/>
  <c r="S19" i="2"/>
  <c r="H12" i="6" s="1"/>
  <c r="H28" i="6" s="1"/>
  <c r="U20" i="2"/>
  <c r="H20" i="2"/>
  <c r="T17" i="2"/>
  <c r="I11" i="6" s="1"/>
  <c r="I20" i="6" s="1"/>
  <c r="I9" i="6"/>
  <c r="E18" i="2"/>
  <c r="E19" i="2"/>
  <c r="E8" i="6" s="1"/>
  <c r="E27" i="6" s="1"/>
  <c r="V18" i="2"/>
  <c r="V19" i="2"/>
  <c r="K12" i="6" s="1"/>
  <c r="K28" i="6" s="1"/>
  <c r="I20" i="2"/>
  <c r="I6" i="6"/>
  <c r="I23" i="6" s="1"/>
  <c r="AA20" i="2"/>
  <c r="E14" i="6"/>
  <c r="E25" i="6" s="1"/>
  <c r="D17" i="2"/>
  <c r="D7" i="6" s="1"/>
  <c r="D19" i="6" s="1"/>
  <c r="D5" i="6"/>
  <c r="U17" i="2"/>
  <c r="J11" i="6" s="1"/>
  <c r="J20" i="6" s="1"/>
  <c r="J9" i="6"/>
  <c r="F18" i="2"/>
  <c r="F19" i="2"/>
  <c r="F8" i="6" s="1"/>
  <c r="F27" i="6" s="1"/>
  <c r="F22" i="2"/>
  <c r="X18" i="2"/>
  <c r="X19" i="2"/>
  <c r="B16" i="6" s="1"/>
  <c r="B29" i="6" s="1"/>
  <c r="X22" i="2"/>
  <c r="J20" i="2"/>
  <c r="J6" i="6"/>
  <c r="J23" i="6" s="1"/>
  <c r="AB20" i="2"/>
  <c r="F14" i="6"/>
  <c r="F25" i="6" s="1"/>
  <c r="AA17" i="2"/>
  <c r="E15" i="6" s="1"/>
  <c r="E21" i="6" s="1"/>
  <c r="AB18" i="2"/>
  <c r="B22" i="2"/>
  <c r="O22" i="2"/>
  <c r="O18" i="2"/>
  <c r="E20" i="2"/>
  <c r="E6" i="6"/>
  <c r="E23" i="6" s="1"/>
  <c r="H13" i="6"/>
  <c r="AD17" i="2"/>
  <c r="H15" i="6" s="1"/>
  <c r="H21" i="6" s="1"/>
  <c r="R20" i="2"/>
  <c r="Q17" i="2"/>
  <c r="F11" i="6" s="1"/>
  <c r="F20" i="6" s="1"/>
  <c r="F9" i="6"/>
  <c r="N19" i="2"/>
  <c r="C12" i="6" s="1"/>
  <c r="C28" i="6" s="1"/>
  <c r="K17" i="2"/>
  <c r="K7" i="6" s="1"/>
  <c r="K19" i="6" s="1"/>
  <c r="P17" i="2"/>
  <c r="E11" i="6" s="1"/>
  <c r="E20" i="6" s="1"/>
  <c r="E9" i="6"/>
  <c r="AE19" i="2"/>
  <c r="I16" i="6" s="1"/>
  <c r="I29" i="6" s="1"/>
  <c r="AC17" i="2"/>
  <c r="G15" i="6" s="1"/>
  <c r="G21" i="6" s="1"/>
  <c r="I17" i="2"/>
  <c r="I7" i="6" s="1"/>
  <c r="I19" i="6" s="1"/>
  <c r="R22" i="2"/>
  <c r="R18" i="2"/>
  <c r="O17" i="2"/>
  <c r="D11" i="6" s="1"/>
  <c r="D20" i="6" s="1"/>
  <c r="E22" i="2"/>
  <c r="O19" i="2"/>
  <c r="D12" i="6" s="1"/>
  <c r="D28" i="6" s="1"/>
  <c r="P19" i="2"/>
  <c r="E12" i="6" s="1"/>
  <c r="E28" i="6" s="1"/>
  <c r="AF19" i="2"/>
  <c r="J16" i="6" s="1"/>
  <c r="J29" i="6" s="1"/>
  <c r="AE18" i="2"/>
  <c r="C17" i="2"/>
  <c r="C7" i="6" s="1"/>
  <c r="C19" i="6" s="1"/>
  <c r="AF17" i="2"/>
  <c r="J15" i="6" s="1"/>
  <c r="J21" i="6" s="1"/>
  <c r="G22" i="2"/>
  <c r="E17" i="2"/>
  <c r="E7" i="6" s="1"/>
  <c r="E19" i="6" s="1"/>
  <c r="AG17" i="2"/>
  <c r="K15" i="6" s="1"/>
  <c r="K21" i="6" s="1"/>
  <c r="B19" i="2"/>
  <c r="B8" i="6" s="1"/>
  <c r="B27" i="6" s="1"/>
  <c r="D20" i="2"/>
  <c r="H10" i="6"/>
  <c r="H24" i="6" s="1"/>
  <c r="S20" i="2"/>
  <c r="G18" i="2"/>
  <c r="I19" i="2"/>
  <c r="I8" i="6" s="1"/>
  <c r="I27" i="6" s="1"/>
  <c r="K20" i="2"/>
  <c r="D14" i="6"/>
  <c r="D25" i="6" s="1"/>
  <c r="H9" i="6"/>
  <c r="B5" i="6"/>
  <c r="H6" i="6"/>
  <c r="H23" i="6" s="1"/>
  <c r="D19" i="2"/>
  <c r="D8" i="6" s="1"/>
  <c r="D27" i="6" s="1"/>
  <c r="K22" i="2"/>
  <c r="AC22" i="2"/>
</calcChain>
</file>

<file path=xl/sharedStrings.xml><?xml version="1.0" encoding="utf-8"?>
<sst xmlns="http://schemas.openxmlformats.org/spreadsheetml/2006/main" count="431" uniqueCount="174">
  <si>
    <t>메모리 3사 핵심지표 — 10년 (Memory Big 3 — 10-Year Key Metrics)</t>
  </si>
  <si>
    <t>2026년 8월 7일 작성 · KAIST 경영대학</t>
  </si>
  <si>
    <t>탭 구성 (Tabs)</t>
  </si>
  <si>
    <t>연간_10년</t>
  </si>
  <si>
    <t>2016~2025년 연간, 3사 한 페이지 비교. 연말 시가총액과 PE ratio 포함. ★ 10년 전체 채워져 있습니다.</t>
  </si>
  <si>
    <t>SK하이닉스_분기</t>
  </si>
  <si>
    <t>2016Q3~2026Q2 (40개 분기 칸).</t>
  </si>
  <si>
    <t>삼성전자_분기</t>
  </si>
  <si>
    <t>동일.</t>
  </si>
  <si>
    <t>마이크론_분기</t>
  </si>
  <si>
    <t>동일. ★ 40개 분기 전체 채워져 있습니다.</t>
  </si>
  <si>
    <t>그래프_연간</t>
  </si>
  <si>
    <t>연간 데이터 그래프 6개.</t>
  </si>
  <si>
    <t>그래프_분기</t>
  </si>
  <si>
    <t>분기 데이터 그래프 6개.</t>
  </si>
  <si>
    <t>★ 데이터 적용 범위 (Coverage)</t>
  </si>
  <si>
    <t>연간 2016~2025</t>
  </si>
  <si>
    <t>3사 모두 10년 전체 완비. 전부 감사받은 재무제표에서 직접 옮겼습니다.</t>
  </si>
  <si>
    <t>분기 — 마이크론</t>
  </si>
  <si>
    <t>2016Q3~2026Q2 전체 40개 분기 완비 (SEC XBRL).</t>
  </si>
  <si>
    <t>분기 — 한국 2사</t>
  </si>
  <si>
    <t>2021Q3~2026Q2 (최근 20개 분기)만 채워져 있습니다. 그 이전 20개 분기는 분기별 원자료를 검증하지 못해 비워 두었습니다 — 추측값은 넣지 않았습니다.</t>
  </si>
  <si>
    <t>나머지를 채우려면</t>
  </si>
  <si>
    <t>DART 전자공시의 분기보고서에서 확인해 파란색 칸에 입력하면 비율·US$ 환산·그래프가 자동으로 채워집니다. 그래프 범위는 이미 40개 분기 전체로 잡혀 있습니다.</t>
  </si>
  <si>
    <t>분기 시가총액</t>
  </si>
  <si>
    <t>3사 모두 최근 20개 분기만 있습니다. 연간 시가총액은 10년 전체가 있습니다.</t>
  </si>
  <si>
    <t>출처 (Sources) — 전부 1차 자료</t>
  </si>
  <si>
    <t>SK하이닉스 연간</t>
  </si>
  <si>
    <t>감사받은 연결재무제표 (2016·2018·2020년 보고서가 각각 2개 연도를 포함) + 2021~25년 공시 재무제표 / SEC Form 424B4.</t>
  </si>
  <si>
    <t>삼성전자 연간</t>
  </si>
  <si>
    <t>Samsung IR 감사받은 연결재무제표 (K-IFRS). images.samsung.com/.../[연도]_con_quarter04_{bs,soi}.pdf</t>
  </si>
  <si>
    <t>마이크론 연간·분기</t>
  </si>
  <si>
    <t>SEC XBRL company facts (10-K/10-Q), CIK 0000723125. 회계 4분기 손익은 연간에서 1~3분기를 차감해 산출했습니다.</t>
  </si>
  <si>
    <t>한국 2사 분기</t>
  </si>
  <si>
    <t>stockanalysis.com 분기 데이터 (KRX:000660 · KRX:005930), 2026년 8월 조회.</t>
  </si>
  <si>
    <t>시가총액 (연간)</t>
  </si>
  <si>
    <t>companiesmarketcap.com, 달력 연말 기준 US$.</t>
  </si>
  <si>
    <t>⚠ 이전 워크북에서 정정된 수치</t>
  </si>
  <si>
    <t>SK하이닉스</t>
  </si>
  <si>
    <t>기존 FCFF 워크북의 2016~2020년 수치 일부가 틀렸습니다. 감사보고서 기준으로 정정: 2017년 자산총계 40,289 → 45,418 · 2019년 71,299 → 65,248 · 2020년 85,284 → 71,174 (십억 원). 매출총이익도 여러 해가 달랐습니다.</t>
  </si>
  <si>
    <t>정의 (Definitions) — 요청하신 정의를 그대로 사용했습니다</t>
  </si>
  <si>
    <t>Gross profit margin</t>
  </si>
  <si>
    <t>영업이익 ÷ 매출액. 교과서에서는 보통 영업이익률(operating margin)이라 부릅니다. 교과서상 매출총이익률은 «참고» 행에 따로 있습니다.</t>
  </si>
  <si>
    <t>PE ratio</t>
  </si>
  <si>
    <t>당기순이익 ÷ 시가총액. 통상적 P/E의 역수(이익수익률)입니다. 통상적 P/E는 «참고» 행에 있습니다.</t>
  </si>
  <si>
    <t>주의 (Caveats)</t>
  </si>
  <si>
    <t>마이크론 회계연도</t>
  </si>
  <si>
    <t>8~9월에 종료됩니다. 12월 결산인 한국 2사와 정확히 같은 기간이 아닙니다. 연말 시가총액은 3사 모두 달력 12월 말 기준이므로, 마이크론은 회계연도 종료 후 약 4개월 뒤 시점입니다.</t>
  </si>
  <si>
    <t>환율</t>
  </si>
  <si>
    <t>연간은 평균환율(손익)·기말환율(재무상태표), 분기는 기말환율입니다. 모두 파란색 입력 칸이니 필요하면 바꾸십시오. 분기 환율 2021~2025년은 해당 연도 기말환율을 4개 분기에 공통 적용한 근사치입니다.</t>
  </si>
  <si>
    <t>마이크론 4분기</t>
  </si>
  <si>
    <t>회계 4분기 손익은 연간에서 1~3분기를 뺀 값입니다(SEC에 별도 공시되지 않음). 해당 분기: 2021Q3, 2022Q3, 2023Q3, 2024Q3, 2025Q3.</t>
  </si>
  <si>
    <t>메모리 3사 핵심지표 — 연간 10년 (2016~2025)</t>
  </si>
  <si>
    <t>전부 감사받은 재무제표 기준. 파란색 = 입력값, 초록색 = 수식, 노란색 = 환율 가정.</t>
  </si>
  <si>
    <t>환율 가정 (FX assumptions)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</si>
  <si>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</si>
  <si>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</si>
  <si>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</si>
  <si>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</si>
  <si>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</si>
  <si>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</si>
  <si>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</si>
  <si>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</si>
  <si>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</si>
  <si>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</si>
  <si>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평균환율 · 손익계산서 환산용 (Average KRW/USD)</t>
  </si>
  <si>
    <t>기말환율 · 재무상태표 환산용 (Year-end KRW/USD)</t>
  </si>
  <si>
    <t>SK하이닉스 (SK hynix)</t>
  </si>
  <si>
    <t>삼성전자 (Samsung Electronics)</t>
  </si>
  <si>
    <t>마이크론 (Micron Technology)</t>
  </si>
  <si>
    <t>항목 (Metric)</t>
  </si>
  <si>
    <t>FY16</t>
  </si>
  <si>
    <t>FY17</t>
  </si>
  <si>
    <t>FY18</t>
  </si>
  <si>
    <t>FY19</t>
  </si>
  <si>
    <t>FY20</t>
  </si>
  <si>
    <t>FY21</t>
  </si>
  <si>
    <t>FY22</t>
  </si>
  <si>
    <t>FY23</t>
  </si>
  <si>
    <t>FY24</t>
  </si>
  <si>
    <t>FY25</t>
  </si>
  <si>
    <t>매출액 (Revenue, US$m)</t>
  </si>
  <si>
    <t>영업이익 (Operating income, US$m)</t>
  </si>
  <si>
    <t>당기순이익 (Net income, US$m)</t>
  </si>
  <si>
    <t>시가총액 · 연말 (Market cap, year-end, US$m)</t>
  </si>
  <si>
    <t>재고자산 (Inventories, US$m)</t>
  </si>
  <si>
    <t>자산총계 (Total assets, US$m)</t>
  </si>
  <si>
    <t>Gross profit margin  (영업이익 ÷ 매출액)</t>
  </si>
  <si>
    <t>Profit margin  (당기순이익 ÷ 매출액)</t>
  </si>
  <si>
    <t>PE ratio  (당기순이익 ÷ 시가총액)</t>
  </si>
  <si>
    <t>재고자산 / 자산총계  (Inventory ÷ total assets)</t>
  </si>
  <si>
    <t>참고: 매출총이익률  (매출총이익 ÷ 매출액)</t>
  </si>
  <si>
    <t>참고: 통상적 P/E  (시가총액 ÷ 당기순이익)</t>
  </si>
  <si>
    <t>원자료 — 보고통화 기준 (Source data in reporting currency)</t>
  </si>
  <si>
    <t>SK하이닉스·삼성전자: 십억 원 (KRW bn) · 마이크론: 백만 달러 (US$m) · 시가총액은 3사 모두 백만 달러 (US$m).</t>
  </si>
  <si>
    <t>SK하이닉스 (SK hynix) — 십억 원 (KRW bn)</t>
  </si>
  <si>
    <t>매출액 (Revenue)</t>
  </si>
  <si>
    <t>매출총이익 (Gross profit)</t>
  </si>
  <si>
    <t>영업이익 (Operating income)</t>
  </si>
  <si>
    <t>당기순이익 (Net income)</t>
  </si>
  <si>
    <t>재고자산 (Inventories)</t>
  </si>
  <si>
    <t>자산총계 (Total assets)</t>
  </si>
  <si>
    <t>시가총액 · 연말 (Market cap, year-end)  [US$m]</t>
  </si>
  <si>
    <t>삼성전자 (Samsung Electronics) — 십억 원 (KRW bn)</t>
  </si>
  <si>
    <t>마이크론 (Micron Technology) — 백만 달러 (US$m)</t>
  </si>
  <si>
    <t>SK하이닉스 (SK hynix) — 분기 데이터 (Quarterly, 2016Q3~2026Q2)</t>
  </si>
  <si>
    <t>단위: 십억 원 (KRW bn) · 2021Q3 이후 20개 분기만 채워져 있습니다 · 파란색 칸은 입력값입니다.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</si>
  <si>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</si>
  <si>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</si>
  <si>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</si>
  <si>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</si>
  <si>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</si>
  <si>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</si>
  <si>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</si>
  <si>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</si>
  <si>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</si>
  <si>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</si>
  <si>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</si>
  <si>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</si>
  <si>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</si>
  <si>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</si>
  <si>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</si>
  <si>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</si>
  <si>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</si>
  <si>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</si>
  <si>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</si>
  <si>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</si>
  <si>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</si>
  <si>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</si>
  <si>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</si>
  <si>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</si>
  <si>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</si>
  <si>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</si>
  <si>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</si>
  <si>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</si>
  <si>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</si>
  <si>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</si>
  <si>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</si>
  <si>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</si>
  <si>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</si>
  <si>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</si>
  <si>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</si>
  <si>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</si>
  <si>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</si>
  <si>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</si>
  <si>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</si>
  <si>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</si>
  <si>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손익계산서 및 시장가치 (Income statement &amp; market value)</t>
  </si>
  <si>
    <t>시가총액 · 분기말 (Market cap, quarter-end)</t>
  </si>
  <si>
    <t>재무상태표 (Balance sheet, 기말)</t>
  </si>
  <si>
    <t>비율 (Ratios)</t>
  </si>
  <si>
    <t>US$ 환산 (Converted to US$ millions)</t>
  </si>
  <si>
    <t>적용환율 · 분기말 KRW/USD (FX rate applied)</t>
  </si>
  <si>
    <t>시가총액 (Market cap, US$m)</t>
  </si>
  <si>
    <t>삼성전자 (Samsung Electronics) — 분기 데이터 (Quarterly, 2016Q3~2026Q2)</t>
  </si>
  <si>
    <t>마이크론 (Micron Technology) — 분기 데이터 (Quarterly, 2016Q3~2026Q2)</t>
  </si>
  <si>
    <t>단위: 백만 달러 (US$m) · 40개 분기 전체 (SEC XBRL) · 파란색 칸은 입력값입니다. 마이크론 회계분기를 달력분기에 정렬했습니다.</t>
  </si>
  <si>
    <t>메모리 3사 연간 그래프 (Annual Charts, 2016~2025)</t>
  </si>
  <si>
    <t>아래 데이터는 데이터 탭과 연결되어 있습니다. 원자료를 채우면 그래프도 함께 채워집니다.</t>
  </si>
  <si>
    <t>차트용 데이터 (Chart data)</t>
  </si>
  <si>
    <t>SK하이닉스 — 영업이익 (US$m)</t>
  </si>
  <si>
    <t>SK하이닉스 — 재고자산 (US$m)</t>
  </si>
  <si>
    <t>SK하이닉스 — Gross profit margin</t>
  </si>
  <si>
    <t>SK하이닉스 — PE ratio</t>
  </si>
  <si>
    <t>삼성전자 — 영업이익 (US$m)</t>
  </si>
  <si>
    <t>삼성전자 — 재고자산 (US$m)</t>
  </si>
  <si>
    <t>삼성전자 — Gross profit margin</t>
  </si>
  <si>
    <t>삼성전자 — PE ratio</t>
  </si>
  <si>
    <t>마이크론 — 영업이익 (US$m)</t>
  </si>
  <si>
    <t>마이크론 — 재고자산 (US$m)</t>
  </si>
  <si>
    <t>마이크론 — Gross profit margin</t>
  </si>
  <si>
    <t>마이크론 — PE ratio</t>
  </si>
  <si>
    <t>3사 비교 블록 (All three companies)</t>
  </si>
  <si>
    <t>메모리 3사 분기 그래프 (Quarterly Charts, 2016Q3~2026Q2)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</si>
</sst>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4">
    <font>
      <sz val="11"/>
      <color theme="1"/>
      <name val="Calibri"/>
      <family val="2"/>
      <scheme val="minor"/>
    </font>
    <font>
      <b/>
      <sz val="14"/>
      <color rgb="FF1F4899"/>
      <name val="Noto Sans CJK SC"/>
    </font>
    <font>
      <sz val="9"/>
      <color rgb="FF666666"/>
      <name val="Noto Sans CJK SC"/>
    </font>
    <font>
      <b/>
      <sz val="11"/>
      <color rgb="FF1F4899"/>
      <name val="Noto Sans CJK SC"/>
    </font>
    <font>
      <b/>
      <sz val="10"/>
      <name val="Noto Sans CJK SC"/>
    </font>
    <font>
      <sz val="10"/>
      <name val="Noto Sans CJK SC"/>
    </font>
    <font>
      <b/>
      <sz val="10"/>
      <color rgb="FF1F4899"/>
      <name val="Arial"/>
    </font>
    <font>
      <sz val="10"/>
      <color rgb="FF0000FF"/>
      <name val="Arial"/>
    </font>
    <font>
      <b/>
      <sz val="10"/>
      <color rgb="FFFFFFFF"/>
      <name val="Noto Sans CJK SC"/>
    </font>
    <font>
      <b/>
      <sz val="9"/>
      <color rgb="FFFFFFFF"/>
      <name val="Arial"/>
    </font>
    <font>
      <b/>
      <sz val="9"/>
      <name val="Arial"/>
    </font>
    <font>
      <sz val="10"/>
      <color rgb="FF1F7A3D"/>
      <name val="Arial"/>
    </font>
    <font>
      <sz val="10"/>
      <name val="Arial"/>
    </font>
    <font>
      <sz val="10"/>
      <color rgb="FF666666"/>
      <name val="Arial"/>
    </font>
  </fonts>
  <fills count="5">
    <fill>
      <patternFill patternType="none"/>
    </fill>
    <fill>
      <patternFill patternType="gray125"/>
    </fill>
    <fill>
      <patternFill patternType="solid">
        <fgColor rgb="FFEAF0FB"/>
      </patternFill>
    </fill>
    <fill>
      <patternFill patternType="solid">
        <fgColor rgb="FFFFFF00"/>
      </patternFill>
    </fill>
    <fill>
      <patternFill patternType="solid">
        <fgColor rgb="FF1F48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/>
    </xf>
    <xf numFmtId="4" fontId="7" fillId="3" borderId="0" xfId="0" applyNumberFormat="1" applyFont="1" applyFill="1" applyAlignment="1">
      <alignment horizontal="right"/>
    </xf>
    <xf numFmtId="0" fontId="8" fillId="4" borderId="0" xfId="0" applyFont="1" applyFill="1"/>
    <xf numFmtId="0" fontId="9" fillId="4" borderId="0" xfId="0" applyFont="1" applyFill="1" applyAlignment="1">
      <alignment horizontal="center"/>
    </xf>
    <xf numFmtId="164" fontId="11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2" fontId="12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164" fontId="7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2" fontId="11" fillId="0" borderId="0" xfId="0" applyNumberFormat="1" applyFont="1" applyAlignment="1">
      <alignment horizontal="right"/>
    </xf>
    <xf numFmtId="4" fontId="13" fillId="0" borderId="0" xfId="0" applyNumberFormat="1" applyFont="1" applyAlignment="1">
      <alignment horizontal="right"/>
    </xf>
    <xf numFmtId="0" fontId="10" fillId="0" borderId="0" xfId="0" applyFont="1" applyAlignment="1">
      <alignment horizontal="center"/>
    </xf>
    <xf numFmtId="0" fontId="8" fillId="4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6"/>
  <sheetViews>
    <sheetView tabSelected="1" workbookViewId="0">
      <selection activeCell="B15" sqref="B15"/>
    </sheetView>
  </sheetViews>
  <sheetFormatPr defaultRowHeight="14.5"/>
  <cols>
    <col min="1" max="1" width="38" customWidth="1"/>
    <col min="2" max="2" width="104" customWidth="1"/>
  </cols>
  <sheetData>
    <row r="1" spans="1:2" ht="18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s="4" t="s">
        <v>3</v>
      </c>
      <c r="B5" s="5" t="s">
        <v>4</v>
      </c>
    </row>
    <row r="6" spans="1:2">
      <c r="A6" s="4" t="s">
        <v>5</v>
      </c>
      <c r="B6" s="5" t="s">
        <v>6</v>
      </c>
    </row>
    <row r="7" spans="1:2">
      <c r="A7" s="4" t="s">
        <v>7</v>
      </c>
      <c r="B7" s="5" t="s">
        <v>8</v>
      </c>
    </row>
    <row r="8" spans="1:2">
      <c r="A8" s="4" t="s">
        <v>9</v>
      </c>
      <c r="B8" s="5" t="s">
        <v>10</v>
      </c>
    </row>
    <row r="9" spans="1:2">
      <c r="A9" s="4" t="s">
        <v>11</v>
      </c>
      <c r="B9" s="5" t="s">
        <v>12</v>
      </c>
    </row>
    <row r="10" spans="1:2">
      <c r="A10" s="4" t="s">
        <v>13</v>
      </c>
      <c r="B10" s="5" t="s">
        <v>14</v>
      </c>
    </row>
    <row r="12" spans="1:2">
      <c r="A12" s="3" t="s">
        <v>15</v>
      </c>
    </row>
    <row r="13" spans="1:2">
      <c r="A13" s="4" t="s">
        <v>16</v>
      </c>
      <c r="B13" s="5" t="s">
        <v>17</v>
      </c>
    </row>
    <row r="14" spans="1:2">
      <c r="A14" s="4" t="s">
        <v>18</v>
      </c>
      <c r="B14" s="5" t="s">
        <v>19</v>
      </c>
    </row>
    <row r="15" spans="1:2">
      <c r="A15" s="4" t="s">
        <v>20</v>
      </c>
      <c r="B15" s="5" t="s">
        <v>21</v>
      </c>
    </row>
    <row r="16" spans="1:2">
      <c r="A16" s="4" t="s">
        <v>22</v>
      </c>
      <c r="B16" s="5" t="s">
        <v>23</v>
      </c>
    </row>
    <row r="17" spans="1:2">
      <c r="A17" s="4" t="s">
        <v>24</v>
      </c>
      <c r="B17" s="5" t="s">
        <v>25</v>
      </c>
    </row>
    <row r="19" spans="1:2">
      <c r="A19" s="3" t="s">
        <v>26</v>
      </c>
    </row>
    <row r="20" spans="1:2">
      <c r="A20" s="4" t="s">
        <v>27</v>
      </c>
      <c r="B20" s="5" t="s">
        <v>28</v>
      </c>
    </row>
    <row r="21" spans="1:2">
      <c r="A21" s="4" t="s">
        <v>29</v>
      </c>
      <c r="B21" s="5" t="s">
        <v>30</v>
      </c>
    </row>
    <row r="22" spans="1:2">
      <c r="A22" s="4" t="s">
        <v>31</v>
      </c>
      <c r="B22" s="5" t="s">
        <v>32</v>
      </c>
    </row>
    <row r="23" spans="1:2">
      <c r="A23" s="4" t="s">
        <v>33</v>
      </c>
      <c r="B23" s="5" t="s">
        <v>34</v>
      </c>
    </row>
    <row r="24" spans="1:2">
      <c r="A24" s="4" t="s">
        <v>35</v>
      </c>
      <c r="B24" s="5" t="s">
        <v>36</v>
      </c>
    </row>
    <row r="26" spans="1:2">
      <c r="A26" s="3" t="s">
        <v>37</v>
      </c>
    </row>
    <row r="27" spans="1:2">
      <c r="A27" s="4" t="s">
        <v>38</v>
      </c>
      <c r="B27" s="5" t="s">
        <v>39</v>
      </c>
    </row>
    <row r="29" spans="1:2">
      <c r="A29" s="3" t="s">
        <v>40</v>
      </c>
    </row>
    <row r="30" spans="1:2">
      <c r="A30" s="4" t="s">
        <v>41</v>
      </c>
      <c r="B30" s="5" t="s">
        <v>42</v>
      </c>
    </row>
    <row r="31" spans="1:2">
      <c r="A31" s="4" t="s">
        <v>43</v>
      </c>
      <c r="B31" s="5" t="s">
        <v>44</v>
      </c>
    </row>
    <row r="33" spans="1:2">
      <c r="A33" s="3" t="s">
        <v>45</v>
      </c>
    </row>
    <row r="34" spans="1:2">
      <c r="A34" s="4" t="s">
        <v>46</v>
      </c>
      <c r="B34" s="5" t="s">
        <v>47</v>
      </c>
    </row>
    <row r="35" spans="1:2">
      <c r="A35" s="4" t="s">
        <v>48</v>
      </c>
      <c r="B35" s="5" t="s">
        <v>49</v>
      </c>
    </row>
    <row r="36" spans="1:2">
      <c r="A36" s="4" t="s">
        <v>50</v>
      </c>
      <c r="B36" s="5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G51"/>
  <sheetViews>
    <sheetView workbookViewId="0">
      <pane xSplit="1" ySplit="9" topLeftCell="B10" activePane="bottomRight" state="frozen"/>
      <selection pane="topRight"/>
      <selection pane="bottomLeft"/>
      <selection pane="bottomRight" activeCell="K27" sqref="K27"/>
    </sheetView>
  </sheetViews>
  <sheetFormatPr defaultRowHeight="14.5"/>
  <cols>
    <col min="1" max="1" width="44" customWidth="1"/>
    <col min="2" max="34" width="10" customWidth="1"/>
  </cols>
  <sheetData>
    <row r="1" spans="1:33" ht="18">
      <c r="A1" s="1" t="s">
        <v>52</v>
      </c>
    </row>
    <row r="2" spans="1:33">
      <c r="A2" s="2" t="s">
        <v>53</v>
      </c>
    </row>
    <row r="4" spans="1:33">
      <c r="A4" s="3" t="s">
        <v>54</v>
      </c>
      <c r="B4" s="6" t="s">
        <v>55</v>
      </c>
      <c r="C4" s="6" t="s">
        <v>56</v>
      </c>
      <c r="D4" s="6" t="s">
        <v>57</v>
      </c>
      <c r="E4" s="6" t="s">
        <v>58</v>
      </c>
      <c r="F4" s="6" t="s">
        <v>59</v>
      </c>
      <c r="G4" s="6" t="s">
        <v>60</v>
      </c>
      <c r="H4" s="6" t="s">
        <v>61</v>
      </c>
      <c r="I4" s="6" t="s">
        <v>62</v>
      </c>
      <c r="J4" s="6" t="s">
        <v>63</v>
      </c>
      <c r="K4" s="6" t="s">
        <v>64</v>
      </c>
    </row>
    <row r="5" spans="1:33">
      <c r="A5" s="5" t="s">
        <v>65</v>
      </c>
      <c r="B5" s="7">
        <v>1160.4000000000001</v>
      </c>
      <c r="C5" s="7">
        <v>1130.4000000000001</v>
      </c>
      <c r="D5" s="7">
        <v>1100.5999999999999</v>
      </c>
      <c r="E5" s="7">
        <v>1165.7</v>
      </c>
      <c r="F5" s="7">
        <v>1180.3</v>
      </c>
      <c r="G5" s="7">
        <v>1144.46</v>
      </c>
      <c r="H5" s="7">
        <v>1291.4100000000001</v>
      </c>
      <c r="I5" s="7">
        <v>1306.01</v>
      </c>
      <c r="J5" s="7">
        <v>1363.53</v>
      </c>
      <c r="K5" s="7">
        <v>1422.16</v>
      </c>
    </row>
    <row r="6" spans="1:33">
      <c r="A6" s="5" t="s">
        <v>66</v>
      </c>
      <c r="B6" s="7">
        <v>1207.7</v>
      </c>
      <c r="C6" s="7">
        <v>1071.4000000000001</v>
      </c>
      <c r="D6" s="7">
        <v>1118.0999999999999</v>
      </c>
      <c r="E6" s="7">
        <v>1156.4000000000001</v>
      </c>
      <c r="F6" s="7">
        <v>1086.3</v>
      </c>
      <c r="G6" s="7">
        <v>1188.8</v>
      </c>
      <c r="H6" s="7">
        <v>1267.3</v>
      </c>
      <c r="I6" s="7">
        <v>1288</v>
      </c>
      <c r="J6" s="7">
        <v>1470</v>
      </c>
      <c r="K6" s="7">
        <v>1439</v>
      </c>
    </row>
    <row r="8" spans="1:33">
      <c r="B8" s="19" t="s">
        <v>67</v>
      </c>
      <c r="C8" s="20"/>
      <c r="D8" s="20"/>
      <c r="E8" s="20"/>
      <c r="F8" s="20"/>
      <c r="G8" s="20"/>
      <c r="H8" s="20"/>
      <c r="I8" s="20"/>
      <c r="J8" s="20"/>
      <c r="K8" s="20"/>
      <c r="M8" s="19" t="s">
        <v>68</v>
      </c>
      <c r="N8" s="20"/>
      <c r="O8" s="20"/>
      <c r="P8" s="20"/>
      <c r="Q8" s="20"/>
      <c r="R8" s="20"/>
      <c r="S8" s="20"/>
      <c r="T8" s="20"/>
      <c r="U8" s="20"/>
      <c r="V8" s="20"/>
      <c r="X8" s="19" t="s">
        <v>69</v>
      </c>
      <c r="Y8" s="20"/>
      <c r="Z8" s="20"/>
      <c r="AA8" s="20"/>
      <c r="AB8" s="20"/>
      <c r="AC8" s="20"/>
      <c r="AD8" s="20"/>
      <c r="AE8" s="20"/>
      <c r="AF8" s="20"/>
      <c r="AG8" s="20"/>
    </row>
    <row r="9" spans="1:33">
      <c r="A9" s="8" t="s">
        <v>70</v>
      </c>
      <c r="B9" s="9" t="s">
        <v>55</v>
      </c>
      <c r="C9" s="9" t="s">
        <v>56</v>
      </c>
      <c r="D9" s="9" t="s">
        <v>57</v>
      </c>
      <c r="E9" s="9" t="s">
        <v>58</v>
      </c>
      <c r="F9" s="9" t="s">
        <v>59</v>
      </c>
      <c r="G9" s="9" t="s">
        <v>60</v>
      </c>
      <c r="H9" s="9" t="s">
        <v>61</v>
      </c>
      <c r="I9" s="9" t="s">
        <v>62</v>
      </c>
      <c r="J9" s="9" t="s">
        <v>63</v>
      </c>
      <c r="K9" s="9" t="s">
        <v>64</v>
      </c>
      <c r="M9" s="9" t="s">
        <v>55</v>
      </c>
      <c r="N9" s="9" t="s">
        <v>56</v>
      </c>
      <c r="O9" s="9" t="s">
        <v>57</v>
      </c>
      <c r="P9" s="9" t="s">
        <v>58</v>
      </c>
      <c r="Q9" s="9" t="s">
        <v>59</v>
      </c>
      <c r="R9" s="9" t="s">
        <v>60</v>
      </c>
      <c r="S9" s="9" t="s">
        <v>61</v>
      </c>
      <c r="T9" s="9" t="s">
        <v>62</v>
      </c>
      <c r="U9" s="9" t="s">
        <v>63</v>
      </c>
      <c r="V9" s="9" t="s">
        <v>64</v>
      </c>
      <c r="X9" s="9" t="s">
        <v>71</v>
      </c>
      <c r="Y9" s="9" t="s">
        <v>72</v>
      </c>
      <c r="Z9" s="9" t="s">
        <v>73</v>
      </c>
      <c r="AA9" s="9" t="s">
        <v>74</v>
      </c>
      <c r="AB9" s="9" t="s">
        <v>75</v>
      </c>
      <c r="AC9" s="9" t="s">
        <v>76</v>
      </c>
      <c r="AD9" s="9" t="s">
        <v>77</v>
      </c>
      <c r="AE9" s="9" t="s">
        <v>78</v>
      </c>
      <c r="AF9" s="9" t="s">
        <v>79</v>
      </c>
      <c r="AG9" s="9" t="s">
        <v>80</v>
      </c>
    </row>
    <row r="10" spans="1:33">
      <c r="A10" s="5" t="s">
        <v>81</v>
      </c>
      <c r="B10" s="10">
        <f t="shared" ref="B10:K10" si="0">IF(B27="","",B27*1000/B5)</f>
        <v>14820.751465012063</v>
      </c>
      <c r="C10" s="10">
        <f t="shared" si="0"/>
        <v>26635.704175513092</v>
      </c>
      <c r="D10" s="10">
        <f t="shared" si="0"/>
        <v>36748.137379611122</v>
      </c>
      <c r="E10" s="10">
        <f t="shared" si="0"/>
        <v>23154.327871665093</v>
      </c>
      <c r="F10" s="10">
        <f t="shared" si="0"/>
        <v>27027.027027027027</v>
      </c>
      <c r="G10" s="10">
        <f t="shared" si="0"/>
        <v>37570.557293396014</v>
      </c>
      <c r="H10" s="10">
        <f t="shared" si="0"/>
        <v>34573.063550692648</v>
      </c>
      <c r="I10" s="10">
        <f t="shared" si="0"/>
        <v>25088.628724129219</v>
      </c>
      <c r="J10" s="10">
        <f t="shared" si="0"/>
        <v>48545.319868283063</v>
      </c>
      <c r="K10" s="10">
        <f t="shared" si="0"/>
        <v>68309.472914440004</v>
      </c>
      <c r="M10" s="10">
        <f t="shared" ref="M10:V10" si="1">IF(B36="","",B36*1000/B5)</f>
        <v>173963.28852119957</v>
      </c>
      <c r="N10" s="10">
        <f t="shared" si="1"/>
        <v>211938.25194621371</v>
      </c>
      <c r="O10" s="10">
        <f t="shared" si="1"/>
        <v>221489.1877157914</v>
      </c>
      <c r="P10" s="10">
        <f t="shared" si="1"/>
        <v>197650.33885219181</v>
      </c>
      <c r="Q10" s="10">
        <f t="shared" si="1"/>
        <v>200632.88994323477</v>
      </c>
      <c r="R10" s="10">
        <f t="shared" si="1"/>
        <v>244311.72780175804</v>
      </c>
      <c r="S10" s="10">
        <f t="shared" si="1"/>
        <v>234031.79470501235</v>
      </c>
      <c r="T10" s="10">
        <f t="shared" si="1"/>
        <v>198264.17868163338</v>
      </c>
      <c r="U10" s="10">
        <f t="shared" si="1"/>
        <v>220655.94449700409</v>
      </c>
      <c r="V10" s="10">
        <f t="shared" si="1"/>
        <v>234576.98149294031</v>
      </c>
      <c r="X10" s="10">
        <f t="shared" ref="X10:AG10" si="2">IF(B45="","",B45)</f>
        <v>12399</v>
      </c>
      <c r="Y10" s="10">
        <f t="shared" si="2"/>
        <v>20322</v>
      </c>
      <c r="Z10" s="10">
        <f t="shared" si="2"/>
        <v>30391</v>
      </c>
      <c r="AA10" s="10">
        <f t="shared" si="2"/>
        <v>23406</v>
      </c>
      <c r="AB10" s="10">
        <f t="shared" si="2"/>
        <v>21435</v>
      </c>
      <c r="AC10" s="10">
        <f t="shared" si="2"/>
        <v>27705</v>
      </c>
      <c r="AD10" s="10">
        <f t="shared" si="2"/>
        <v>30758</v>
      </c>
      <c r="AE10" s="10">
        <f t="shared" si="2"/>
        <v>15540</v>
      </c>
      <c r="AF10" s="10">
        <f t="shared" si="2"/>
        <v>25111</v>
      </c>
      <c r="AG10" s="10">
        <f t="shared" si="2"/>
        <v>37378</v>
      </c>
    </row>
    <row r="11" spans="1:33">
      <c r="A11" s="5" t="s">
        <v>82</v>
      </c>
      <c r="B11" s="10">
        <f t="shared" ref="B11:K11" si="3">IF(B29="","",B29*1000/B5)</f>
        <v>2824.0261978628059</v>
      </c>
      <c r="C11" s="10">
        <f t="shared" si="3"/>
        <v>12138.181174805377</v>
      </c>
      <c r="D11" s="10">
        <f t="shared" si="3"/>
        <v>18938.760675994912</v>
      </c>
      <c r="E11" s="10">
        <f t="shared" si="3"/>
        <v>2332.5040748048382</v>
      </c>
      <c r="F11" s="10">
        <f t="shared" si="3"/>
        <v>4247.2252817080407</v>
      </c>
      <c r="G11" s="10">
        <f t="shared" si="3"/>
        <v>10843.541932439754</v>
      </c>
      <c r="H11" s="10">
        <f t="shared" si="3"/>
        <v>5425.8523629211477</v>
      </c>
      <c r="I11" s="10">
        <f t="shared" si="3"/>
        <v>-5918.7908208972367</v>
      </c>
      <c r="J11" s="10">
        <f t="shared" si="3"/>
        <v>17211.209140979663</v>
      </c>
      <c r="K11" s="10">
        <f t="shared" si="3"/>
        <v>33193.170951229113</v>
      </c>
      <c r="M11" s="10">
        <f t="shared" ref="M11:V11" si="4">IF(B38="","",B38*1000/B5)</f>
        <v>25199.069286452945</v>
      </c>
      <c r="N11" s="10">
        <f t="shared" si="4"/>
        <v>47456.652512384993</v>
      </c>
      <c r="O11" s="10">
        <f t="shared" si="4"/>
        <v>53504.452117027082</v>
      </c>
      <c r="P11" s="10">
        <f t="shared" si="4"/>
        <v>23821.738011495239</v>
      </c>
      <c r="Q11" s="10">
        <f t="shared" si="4"/>
        <v>30495.636702533255</v>
      </c>
      <c r="R11" s="10">
        <f t="shared" si="4"/>
        <v>45116.47414501162</v>
      </c>
      <c r="S11" s="10">
        <f t="shared" si="4"/>
        <v>33588.867981508578</v>
      </c>
      <c r="T11" s="10">
        <f t="shared" si="4"/>
        <v>5028.2922795384411</v>
      </c>
      <c r="U11" s="10">
        <f t="shared" si="4"/>
        <v>24000.938739888377</v>
      </c>
      <c r="V11" s="10">
        <f t="shared" si="4"/>
        <v>30658.294425381107</v>
      </c>
      <c r="X11" s="10">
        <f t="shared" ref="X11:AG12" si="5">IF(B47="","",B47)</f>
        <v>168</v>
      </c>
      <c r="Y11" s="10">
        <f t="shared" si="5"/>
        <v>5868</v>
      </c>
      <c r="Z11" s="10">
        <f t="shared" si="5"/>
        <v>14994</v>
      </c>
      <c r="AA11" s="10">
        <f t="shared" si="5"/>
        <v>7376</v>
      </c>
      <c r="AB11" s="10">
        <f t="shared" si="5"/>
        <v>3003</v>
      </c>
      <c r="AC11" s="10">
        <f t="shared" si="5"/>
        <v>6283</v>
      </c>
      <c r="AD11" s="10">
        <f t="shared" si="5"/>
        <v>9702</v>
      </c>
      <c r="AE11" s="10">
        <f t="shared" si="5"/>
        <v>-5745</v>
      </c>
      <c r="AF11" s="10">
        <f t="shared" si="5"/>
        <v>1304</v>
      </c>
      <c r="AG11" s="10">
        <f t="shared" si="5"/>
        <v>9770</v>
      </c>
    </row>
    <row r="12" spans="1:33">
      <c r="A12" s="5" t="s">
        <v>83</v>
      </c>
      <c r="B12" s="10">
        <f t="shared" ref="B12:K12" si="6">IF(B30="","",B30*1000/B5)</f>
        <v>2550.8445363667697</v>
      </c>
      <c r="C12" s="10">
        <f t="shared" si="6"/>
        <v>9414.366595895257</v>
      </c>
      <c r="D12" s="10">
        <f t="shared" si="6"/>
        <v>14119.571143012903</v>
      </c>
      <c r="E12" s="10">
        <f t="shared" si="6"/>
        <v>1723.4279831860683</v>
      </c>
      <c r="F12" s="10">
        <f t="shared" si="6"/>
        <v>4032.0257561636872</v>
      </c>
      <c r="G12" s="10">
        <f t="shared" si="6"/>
        <v>8403.0896667423931</v>
      </c>
      <c r="H12" s="10">
        <f t="shared" si="6"/>
        <v>1888.6333542407135</v>
      </c>
      <c r="I12" s="10">
        <f t="shared" si="6"/>
        <v>-6996.8836379507047</v>
      </c>
      <c r="J12" s="10">
        <f t="shared" si="6"/>
        <v>14518.932476733185</v>
      </c>
      <c r="K12" s="10">
        <f t="shared" si="6"/>
        <v>30199.133712099901</v>
      </c>
      <c r="M12" s="10">
        <f t="shared" ref="M12:V12" si="7">IF(B39="","",B39*1000/B5)</f>
        <v>19584.62599103757</v>
      </c>
      <c r="N12" s="10">
        <f t="shared" si="7"/>
        <v>37320.41755130927</v>
      </c>
      <c r="O12" s="10">
        <f t="shared" si="7"/>
        <v>40291.659095039075</v>
      </c>
      <c r="P12" s="10">
        <f t="shared" si="7"/>
        <v>18648.880500986532</v>
      </c>
      <c r="Q12" s="10">
        <f t="shared" si="7"/>
        <v>22373.972718800305</v>
      </c>
      <c r="R12" s="10">
        <f t="shared" si="7"/>
        <v>34290.407703196266</v>
      </c>
      <c r="S12" s="10">
        <f t="shared" si="7"/>
        <v>42380.034226155905</v>
      </c>
      <c r="T12" s="10">
        <f t="shared" si="7"/>
        <v>11081.844702567361</v>
      </c>
      <c r="U12" s="10">
        <f t="shared" si="7"/>
        <v>24657.323271215155</v>
      </c>
      <c r="V12" s="10">
        <f t="shared" si="7"/>
        <v>31122.377229003767</v>
      </c>
      <c r="X12" s="10">
        <f t="shared" si="5"/>
        <v>-276</v>
      </c>
      <c r="Y12" s="10">
        <f t="shared" si="5"/>
        <v>5089</v>
      </c>
      <c r="Z12" s="10">
        <f t="shared" si="5"/>
        <v>14135</v>
      </c>
      <c r="AA12" s="10">
        <f t="shared" si="5"/>
        <v>6313</v>
      </c>
      <c r="AB12" s="10">
        <f t="shared" si="5"/>
        <v>2687</v>
      </c>
      <c r="AC12" s="10">
        <f t="shared" si="5"/>
        <v>5861</v>
      </c>
      <c r="AD12" s="10">
        <f t="shared" si="5"/>
        <v>8687</v>
      </c>
      <c r="AE12" s="10">
        <f t="shared" si="5"/>
        <v>-5833</v>
      </c>
      <c r="AF12" s="10">
        <f t="shared" si="5"/>
        <v>778</v>
      </c>
      <c r="AG12" s="10">
        <f t="shared" si="5"/>
        <v>8539</v>
      </c>
    </row>
    <row r="13" spans="1:33">
      <c r="A13" s="5" t="s">
        <v>84</v>
      </c>
      <c r="B13" s="10">
        <f t="shared" ref="B13:K13" si="8">IF(B33="","",B33)</f>
        <v>26180</v>
      </c>
      <c r="C13" s="10">
        <f t="shared" si="8"/>
        <v>50490</v>
      </c>
      <c r="D13" s="10">
        <f t="shared" si="8"/>
        <v>37070</v>
      </c>
      <c r="E13" s="10">
        <f t="shared" si="8"/>
        <v>55660</v>
      </c>
      <c r="F13" s="10">
        <f t="shared" si="8"/>
        <v>74600</v>
      </c>
      <c r="G13" s="10">
        <f t="shared" si="8"/>
        <v>75700</v>
      </c>
      <c r="H13" s="10">
        <f t="shared" si="8"/>
        <v>40650</v>
      </c>
      <c r="I13" s="10">
        <f t="shared" si="8"/>
        <v>77400</v>
      </c>
      <c r="J13" s="10">
        <f t="shared" si="8"/>
        <v>81730</v>
      </c>
      <c r="K13" s="10">
        <f t="shared" si="8"/>
        <v>286610</v>
      </c>
      <c r="M13" s="10">
        <f t="shared" ref="M13:V13" si="9">IF(B42="","",B42)</f>
        <v>203990</v>
      </c>
      <c r="N13" s="10">
        <f t="shared" si="9"/>
        <v>319260</v>
      </c>
      <c r="O13" s="10">
        <f t="shared" si="9"/>
        <v>230360</v>
      </c>
      <c r="P13" s="10">
        <f t="shared" si="9"/>
        <v>319730</v>
      </c>
      <c r="Q13" s="10">
        <f t="shared" si="9"/>
        <v>500830</v>
      </c>
      <c r="R13" s="10">
        <f t="shared" si="9"/>
        <v>442070</v>
      </c>
      <c r="S13" s="10">
        <f t="shared" si="9"/>
        <v>293000</v>
      </c>
      <c r="T13" s="10">
        <f t="shared" si="9"/>
        <v>401540</v>
      </c>
      <c r="U13" s="10">
        <f t="shared" si="9"/>
        <v>242970</v>
      </c>
      <c r="V13" s="10">
        <f t="shared" si="9"/>
        <v>542110</v>
      </c>
      <c r="X13" s="10">
        <f t="shared" ref="X13:AG13" si="10">IF(B51="","",B51)</f>
        <v>24090</v>
      </c>
      <c r="Y13" s="10">
        <f t="shared" si="10"/>
        <v>47540</v>
      </c>
      <c r="Z13" s="10">
        <f t="shared" si="10"/>
        <v>35570</v>
      </c>
      <c r="AA13" s="10">
        <f t="shared" si="10"/>
        <v>59740</v>
      </c>
      <c r="AB13" s="10">
        <f t="shared" si="10"/>
        <v>83960</v>
      </c>
      <c r="AC13" s="10">
        <f t="shared" si="10"/>
        <v>104320</v>
      </c>
      <c r="AD13" s="10">
        <f t="shared" si="10"/>
        <v>54530</v>
      </c>
      <c r="AE13" s="10">
        <f t="shared" si="10"/>
        <v>94200</v>
      </c>
      <c r="AF13" s="10">
        <f t="shared" si="10"/>
        <v>98740</v>
      </c>
      <c r="AG13" s="10">
        <f t="shared" si="10"/>
        <v>320530</v>
      </c>
    </row>
    <row r="14" spans="1:33">
      <c r="A14" s="5" t="s">
        <v>85</v>
      </c>
      <c r="B14" s="10">
        <f t="shared" ref="B14:K14" si="11">IF(B31="","",B31*1000/B6)</f>
        <v>1677.5689326819574</v>
      </c>
      <c r="C14" s="10">
        <f t="shared" si="11"/>
        <v>2464.0657084188911</v>
      </c>
      <c r="D14" s="10">
        <f t="shared" si="11"/>
        <v>3955.8179053751905</v>
      </c>
      <c r="E14" s="10">
        <f t="shared" si="11"/>
        <v>4579.7301971636107</v>
      </c>
      <c r="F14" s="10">
        <f t="shared" si="11"/>
        <v>5648.5317131547454</v>
      </c>
      <c r="G14" s="10">
        <f t="shared" si="11"/>
        <v>7528.6002691790045</v>
      </c>
      <c r="H14" s="10">
        <f t="shared" si="11"/>
        <v>12360.924800757517</v>
      </c>
      <c r="I14" s="10">
        <f t="shared" si="11"/>
        <v>10466.614906832297</v>
      </c>
      <c r="J14" s="10">
        <f t="shared" si="11"/>
        <v>9057.1428571428569</v>
      </c>
      <c r="K14" s="10">
        <f t="shared" si="11"/>
        <v>9929.8123697011815</v>
      </c>
      <c r="M14" s="10">
        <f t="shared" ref="M14:V14" si="12">IF(B40="","",B40*1000/B6)</f>
        <v>15197.482818580773</v>
      </c>
      <c r="N14" s="10">
        <f t="shared" si="12"/>
        <v>23318.088482359526</v>
      </c>
      <c r="O14" s="10">
        <f t="shared" si="12"/>
        <v>25923.441552633936</v>
      </c>
      <c r="P14" s="10">
        <f t="shared" si="12"/>
        <v>23145.970252507781</v>
      </c>
      <c r="Q14" s="10">
        <f t="shared" si="12"/>
        <v>29497.376415354876</v>
      </c>
      <c r="R14" s="10">
        <f t="shared" si="12"/>
        <v>34811.574697173623</v>
      </c>
      <c r="S14" s="10">
        <f t="shared" si="12"/>
        <v>41180.462400378761</v>
      </c>
      <c r="T14" s="10">
        <f t="shared" si="12"/>
        <v>40082.298136645964</v>
      </c>
      <c r="U14" s="10">
        <f t="shared" si="12"/>
        <v>35207.482993197278</v>
      </c>
      <c r="V14" s="10">
        <f t="shared" si="12"/>
        <v>36578.874218207086</v>
      </c>
      <c r="X14" s="10">
        <f t="shared" ref="X14:AG15" si="13">IF(B49="","",B49)</f>
        <v>2889</v>
      </c>
      <c r="Y14" s="10">
        <f t="shared" si="13"/>
        <v>3123</v>
      </c>
      <c r="Z14" s="10">
        <f t="shared" si="13"/>
        <v>3595</v>
      </c>
      <c r="AA14" s="10">
        <f t="shared" si="13"/>
        <v>5118</v>
      </c>
      <c r="AB14" s="10">
        <f t="shared" si="13"/>
        <v>5607</v>
      </c>
      <c r="AC14" s="10">
        <f t="shared" si="13"/>
        <v>4487</v>
      </c>
      <c r="AD14" s="10">
        <f t="shared" si="13"/>
        <v>6663</v>
      </c>
      <c r="AE14" s="10">
        <f t="shared" si="13"/>
        <v>8387</v>
      </c>
      <c r="AF14" s="10">
        <f t="shared" si="13"/>
        <v>8875</v>
      </c>
      <c r="AG14" s="10">
        <f t="shared" si="13"/>
        <v>8355</v>
      </c>
    </row>
    <row r="15" spans="1:33">
      <c r="A15" s="5" t="s">
        <v>86</v>
      </c>
      <c r="B15" s="10">
        <f t="shared" ref="B15:K15" si="14">IF(B32="","",B32*1000/B6)</f>
        <v>26675.498882172724</v>
      </c>
      <c r="C15" s="10">
        <f t="shared" si="14"/>
        <v>42391.263767033786</v>
      </c>
      <c r="D15" s="10">
        <f t="shared" si="14"/>
        <v>56934.08460781684</v>
      </c>
      <c r="E15" s="10">
        <f t="shared" si="14"/>
        <v>56423.382912487024</v>
      </c>
      <c r="F15" s="10">
        <f t="shared" si="14"/>
        <v>65519.653870938047</v>
      </c>
      <c r="G15" s="10">
        <f t="shared" si="14"/>
        <v>81045.592193808887</v>
      </c>
      <c r="H15" s="10">
        <f t="shared" si="14"/>
        <v>81963.228911859856</v>
      </c>
      <c r="I15" s="10">
        <f t="shared" si="14"/>
        <v>77895.962732919259</v>
      </c>
      <c r="J15" s="10">
        <f t="shared" si="14"/>
        <v>81534.013605442175</v>
      </c>
      <c r="K15" s="10">
        <f t="shared" si="14"/>
        <v>122382.20986796386</v>
      </c>
      <c r="M15" s="10">
        <f t="shared" ref="M15:V15" si="15">IF(B41="","",B41*1000/B6)</f>
        <v>217085.36888300074</v>
      </c>
      <c r="N15" s="10">
        <f t="shared" si="15"/>
        <v>281642.71047227923</v>
      </c>
      <c r="O15" s="10">
        <f t="shared" si="15"/>
        <v>303512.20821035688</v>
      </c>
      <c r="P15" s="10">
        <f t="shared" si="15"/>
        <v>304880.66413005878</v>
      </c>
      <c r="Q15" s="10">
        <f t="shared" si="15"/>
        <v>348187.42520482372</v>
      </c>
      <c r="R15" s="10">
        <f t="shared" si="15"/>
        <v>358866.92462987889</v>
      </c>
      <c r="S15" s="10">
        <f t="shared" si="15"/>
        <v>353842.81543438806</v>
      </c>
      <c r="T15" s="10">
        <f t="shared" si="15"/>
        <v>353964.28571428574</v>
      </c>
      <c r="U15" s="10">
        <f t="shared" si="15"/>
        <v>350021.76870748302</v>
      </c>
      <c r="V15" s="10">
        <f t="shared" si="15"/>
        <v>393983.32175121614</v>
      </c>
      <c r="X15" s="10">
        <f t="shared" si="13"/>
        <v>27540</v>
      </c>
      <c r="Y15" s="10">
        <f t="shared" si="13"/>
        <v>35336</v>
      </c>
      <c r="Z15" s="10">
        <f t="shared" si="13"/>
        <v>43376</v>
      </c>
      <c r="AA15" s="10">
        <f t="shared" si="13"/>
        <v>48887</v>
      </c>
      <c r="AB15" s="10">
        <f t="shared" si="13"/>
        <v>53678</v>
      </c>
      <c r="AC15" s="10">
        <f t="shared" si="13"/>
        <v>58849</v>
      </c>
      <c r="AD15" s="10">
        <f t="shared" si="13"/>
        <v>66283</v>
      </c>
      <c r="AE15" s="10">
        <f t="shared" si="13"/>
        <v>64254</v>
      </c>
      <c r="AF15" s="10">
        <f t="shared" si="13"/>
        <v>69416</v>
      </c>
      <c r="AG15" s="10">
        <f t="shared" si="13"/>
        <v>82798</v>
      </c>
    </row>
    <row r="17" spans="1:33">
      <c r="A17" s="4" t="s">
        <v>87</v>
      </c>
      <c r="B17" s="11">
        <f t="shared" ref="B17:K17" si="16">IFERROR(B11/B10,"")</f>
        <v>0.19054541225723923</v>
      </c>
      <c r="C17" s="11">
        <f t="shared" si="16"/>
        <v>0.45571091700156097</v>
      </c>
      <c r="D17" s="11">
        <f t="shared" si="16"/>
        <v>0.51536654716281372</v>
      </c>
      <c r="E17" s="11">
        <f t="shared" si="16"/>
        <v>0.10073728279796969</v>
      </c>
      <c r="F17" s="11">
        <f t="shared" si="16"/>
        <v>0.1571473354231975</v>
      </c>
      <c r="G17" s="11">
        <f t="shared" si="16"/>
        <v>0.28861807525931438</v>
      </c>
      <c r="H17" s="11">
        <f t="shared" si="16"/>
        <v>0.15693872065938005</v>
      </c>
      <c r="I17" s="11">
        <f t="shared" si="16"/>
        <v>-0.23591527803210643</v>
      </c>
      <c r="J17" s="11">
        <f t="shared" si="16"/>
        <v>0.35453899959210183</v>
      </c>
      <c r="K17" s="11">
        <f t="shared" si="16"/>
        <v>0.48592339444347221</v>
      </c>
      <c r="M17" s="11">
        <f t="shared" ref="M17:V17" si="17">IFERROR(M11/M10,"")</f>
        <v>0.14485279912021282</v>
      </c>
      <c r="N17" s="11">
        <f t="shared" si="17"/>
        <v>0.22391735364708337</v>
      </c>
      <c r="O17" s="11">
        <f t="shared" si="17"/>
        <v>0.24156688039184318</v>
      </c>
      <c r="P17" s="11">
        <f t="shared" si="17"/>
        <v>0.12052465050064888</v>
      </c>
      <c r="Q17" s="11">
        <f t="shared" si="17"/>
        <v>0.1519971960288336</v>
      </c>
      <c r="R17" s="11">
        <f t="shared" si="17"/>
        <v>0.18466765615779401</v>
      </c>
      <c r="S17" s="11">
        <f t="shared" si="17"/>
        <v>0.14352266974598898</v>
      </c>
      <c r="T17" s="11">
        <f t="shared" si="17"/>
        <v>2.5361577229806705E-2</v>
      </c>
      <c r="U17" s="11">
        <f t="shared" si="17"/>
        <v>0.10877086857822788</v>
      </c>
      <c r="V17" s="11">
        <f t="shared" si="17"/>
        <v>0.13069609059789092</v>
      </c>
      <c r="X17" s="11">
        <f t="shared" ref="X17:AG17" si="18">IFERROR(X11/X10,"")</f>
        <v>1.3549479796757804E-2</v>
      </c>
      <c r="Y17" s="11">
        <f t="shared" si="18"/>
        <v>0.28875110717449071</v>
      </c>
      <c r="Z17" s="11">
        <f t="shared" si="18"/>
        <v>0.49336974762265146</v>
      </c>
      <c r="AA17" s="11">
        <f t="shared" si="18"/>
        <v>0.31513287191318468</v>
      </c>
      <c r="AB17" s="11">
        <f t="shared" si="18"/>
        <v>0.14009797060881735</v>
      </c>
      <c r="AC17" s="11">
        <f t="shared" si="18"/>
        <v>0.22678216928352282</v>
      </c>
      <c r="AD17" s="11">
        <f t="shared" si="18"/>
        <v>0.31543013199817932</v>
      </c>
      <c r="AE17" s="11">
        <f t="shared" si="18"/>
        <v>-0.36969111969111967</v>
      </c>
      <c r="AF17" s="11">
        <f t="shared" si="18"/>
        <v>5.192943331607662E-2</v>
      </c>
      <c r="AG17" s="11">
        <f t="shared" si="18"/>
        <v>0.26138370164267749</v>
      </c>
    </row>
    <row r="18" spans="1:33">
      <c r="A18" s="4" t="s">
        <v>88</v>
      </c>
      <c r="B18" s="11">
        <f t="shared" ref="B18:K18" si="19">IFERROR(B12/B10,"")</f>
        <v>0.17211303639958134</v>
      </c>
      <c r="C18" s="11">
        <f t="shared" si="19"/>
        <v>0.35344913481018958</v>
      </c>
      <c r="D18" s="11">
        <f t="shared" si="19"/>
        <v>0.3842254914080851</v>
      </c>
      <c r="E18" s="11">
        <f t="shared" si="19"/>
        <v>7.4432218146789672E-2</v>
      </c>
      <c r="F18" s="11">
        <f t="shared" si="19"/>
        <v>0.14918495297805642</v>
      </c>
      <c r="G18" s="11">
        <f t="shared" si="19"/>
        <v>0.22366156565421644</v>
      </c>
      <c r="H18" s="11">
        <f t="shared" si="19"/>
        <v>5.4627306934241178E-2</v>
      </c>
      <c r="I18" s="11">
        <f t="shared" si="19"/>
        <v>-0.27888665079655739</v>
      </c>
      <c r="J18" s="11">
        <f t="shared" si="19"/>
        <v>0.29907996313809615</v>
      </c>
      <c r="K18" s="11">
        <f t="shared" si="19"/>
        <v>0.44209291074351237</v>
      </c>
      <c r="M18" s="11">
        <f t="shared" ref="M18:V18" si="20">IFERROR(M12/M10,"")</f>
        <v>0.11257907434102651</v>
      </c>
      <c r="N18" s="11">
        <f t="shared" si="20"/>
        <v>0.17609099446937285</v>
      </c>
      <c r="O18" s="11">
        <f t="shared" si="20"/>
        <v>0.18191253266385257</v>
      </c>
      <c r="P18" s="11">
        <f t="shared" si="20"/>
        <v>9.4352889093363312E-2</v>
      </c>
      <c r="Q18" s="11">
        <f t="shared" si="20"/>
        <v>0.11151697373810741</v>
      </c>
      <c r="R18" s="11">
        <f t="shared" si="20"/>
        <v>0.14035514386366479</v>
      </c>
      <c r="S18" s="11">
        <f t="shared" si="20"/>
        <v>0.18108665226267326</v>
      </c>
      <c r="T18" s="11">
        <f t="shared" si="20"/>
        <v>5.5894336416475177E-2</v>
      </c>
      <c r="U18" s="11">
        <f t="shared" si="20"/>
        <v>0.11174556537519402</v>
      </c>
      <c r="V18" s="11">
        <f t="shared" si="20"/>
        <v>0.13267447228167359</v>
      </c>
      <c r="X18" s="11">
        <f t="shared" ref="X18:AG18" si="21">IFERROR(X12/X10,"")</f>
        <v>-2.2259859666102104E-2</v>
      </c>
      <c r="Y18" s="11">
        <f t="shared" si="21"/>
        <v>0.2504182659187088</v>
      </c>
      <c r="Z18" s="11">
        <f t="shared" si="21"/>
        <v>0.4651048007633839</v>
      </c>
      <c r="AA18" s="11">
        <f t="shared" si="21"/>
        <v>0.26971716653849442</v>
      </c>
      <c r="AB18" s="11">
        <f t="shared" si="21"/>
        <v>0.12535572661534872</v>
      </c>
      <c r="AC18" s="11">
        <f t="shared" si="21"/>
        <v>0.2115502616856163</v>
      </c>
      <c r="AD18" s="11">
        <f t="shared" si="21"/>
        <v>0.28243058716431496</v>
      </c>
      <c r="AE18" s="11">
        <f t="shared" si="21"/>
        <v>-0.37535392535392537</v>
      </c>
      <c r="AF18" s="11">
        <f t="shared" si="21"/>
        <v>3.0982437975389271E-2</v>
      </c>
      <c r="AG18" s="11">
        <f t="shared" si="21"/>
        <v>0.22844989030980792</v>
      </c>
    </row>
    <row r="19" spans="1:33">
      <c r="A19" s="4" t="s">
        <v>89</v>
      </c>
      <c r="B19" s="11">
        <f t="shared" ref="B19:K19" si="22">IFERROR(B12/B13,"")</f>
        <v>9.7434856240136355E-2</v>
      </c>
      <c r="C19" s="11">
        <f t="shared" si="22"/>
        <v>0.18646002368578446</v>
      </c>
      <c r="D19" s="11">
        <f t="shared" si="22"/>
        <v>0.3808894292692987</v>
      </c>
      <c r="E19" s="11">
        <f t="shared" si="22"/>
        <v>3.096349233176551E-2</v>
      </c>
      <c r="F19" s="11">
        <f t="shared" si="22"/>
        <v>5.4048602629540046E-2</v>
      </c>
      <c r="G19" s="11">
        <f t="shared" si="22"/>
        <v>0.11100514751310955</v>
      </c>
      <c r="H19" s="11">
        <f t="shared" si="22"/>
        <v>4.6460845122772779E-2</v>
      </c>
      <c r="I19" s="11">
        <f t="shared" si="22"/>
        <v>-9.039901341021582E-2</v>
      </c>
      <c r="J19" s="11">
        <f t="shared" si="22"/>
        <v>0.17764508108079269</v>
      </c>
      <c r="K19" s="11">
        <f t="shared" si="22"/>
        <v>0.10536664356477408</v>
      </c>
      <c r="M19" s="11">
        <f t="shared" ref="M19:V19" si="23">IFERROR(M12/M13,"")</f>
        <v>9.6007774846990399E-2</v>
      </c>
      <c r="N19" s="11">
        <f t="shared" si="23"/>
        <v>0.11689662830078704</v>
      </c>
      <c r="O19" s="11">
        <f t="shared" si="23"/>
        <v>0.17490735846083988</v>
      </c>
      <c r="P19" s="11">
        <f t="shared" si="23"/>
        <v>5.8326964942252937E-2</v>
      </c>
      <c r="Q19" s="11">
        <f t="shared" si="23"/>
        <v>4.4673786951261514E-2</v>
      </c>
      <c r="R19" s="11">
        <f t="shared" si="23"/>
        <v>7.7567823428860289E-2</v>
      </c>
      <c r="S19" s="11">
        <f t="shared" si="23"/>
        <v>0.14464175503807475</v>
      </c>
      <c r="T19" s="11">
        <f t="shared" si="23"/>
        <v>2.75983580778188E-2</v>
      </c>
      <c r="U19" s="11">
        <f t="shared" si="23"/>
        <v>0.10148299490149053</v>
      </c>
      <c r="V19" s="11">
        <f t="shared" si="23"/>
        <v>5.740970878420204E-2</v>
      </c>
      <c r="X19" s="11">
        <f t="shared" ref="X19:AG19" si="24">IFERROR(X12/X13,"")</f>
        <v>-1.145703611457036E-2</v>
      </c>
      <c r="Y19" s="11">
        <f t="shared" si="24"/>
        <v>0.10704669751787968</v>
      </c>
      <c r="Z19" s="11">
        <f t="shared" si="24"/>
        <v>0.39738543716615127</v>
      </c>
      <c r="AA19" s="11">
        <f t="shared" si="24"/>
        <v>0.10567458988952126</v>
      </c>
      <c r="AB19" s="11">
        <f t="shared" si="24"/>
        <v>3.2003334921391138E-2</v>
      </c>
      <c r="AC19" s="11">
        <f t="shared" si="24"/>
        <v>5.6182898773006133E-2</v>
      </c>
      <c r="AD19" s="11">
        <f t="shared" si="24"/>
        <v>0.15930680359435173</v>
      </c>
      <c r="AE19" s="11">
        <f t="shared" si="24"/>
        <v>-6.1921443736730364E-2</v>
      </c>
      <c r="AF19" s="11">
        <f t="shared" si="24"/>
        <v>7.879278914320437E-3</v>
      </c>
      <c r="AG19" s="11">
        <f t="shared" si="24"/>
        <v>2.6640252082488377E-2</v>
      </c>
    </row>
    <row r="20" spans="1:33">
      <c r="A20" s="4" t="s">
        <v>90</v>
      </c>
      <c r="B20" s="11">
        <f t="shared" ref="B20:K20" si="25">IFERROR(B14/B15,"")</f>
        <v>6.2888005959771551E-2</v>
      </c>
      <c r="C20" s="11">
        <f t="shared" si="25"/>
        <v>5.8126733894050819E-2</v>
      </c>
      <c r="D20" s="11">
        <f t="shared" si="25"/>
        <v>6.9480662289107417E-2</v>
      </c>
      <c r="E20" s="11">
        <f t="shared" si="25"/>
        <v>8.1167238842569878E-2</v>
      </c>
      <c r="F20" s="11">
        <f t="shared" si="25"/>
        <v>8.6211256919661666E-2</v>
      </c>
      <c r="G20" s="11">
        <f t="shared" si="25"/>
        <v>9.2893395746624183E-2</v>
      </c>
      <c r="H20" s="11">
        <f t="shared" si="25"/>
        <v>0.15081061306223045</v>
      </c>
      <c r="I20" s="11">
        <f t="shared" si="25"/>
        <v>0.13436659025216782</v>
      </c>
      <c r="J20" s="11">
        <f t="shared" si="25"/>
        <v>0.11108422677401861</v>
      </c>
      <c r="K20" s="11">
        <f t="shared" si="25"/>
        <v>8.1137710950098807E-2</v>
      </c>
      <c r="M20" s="11">
        <f t="shared" ref="M20:V20" si="26">IFERROR(M14/M15,"")</f>
        <v>7.0006941954579779E-2</v>
      </c>
      <c r="N20" s="11">
        <f t="shared" si="26"/>
        <v>8.2793154643548347E-2</v>
      </c>
      <c r="O20" s="11">
        <f t="shared" si="26"/>
        <v>8.5411528272586107E-2</v>
      </c>
      <c r="P20" s="11">
        <f t="shared" si="26"/>
        <v>7.5918131176183609E-2</v>
      </c>
      <c r="Q20" s="11">
        <f t="shared" si="26"/>
        <v>8.4716949206315631E-2</v>
      </c>
      <c r="R20" s="11">
        <f t="shared" si="26"/>
        <v>9.7004132473553814E-2</v>
      </c>
      <c r="S20" s="11">
        <f t="shared" si="26"/>
        <v>0.11638066566315439</v>
      </c>
      <c r="T20" s="11">
        <f t="shared" si="26"/>
        <v>0.1132382552543726</v>
      </c>
      <c r="U20" s="11">
        <f t="shared" si="26"/>
        <v>0.10058655243988711</v>
      </c>
      <c r="V20" s="11">
        <f t="shared" si="26"/>
        <v>9.284371240797118E-2</v>
      </c>
      <c r="X20" s="11">
        <f t="shared" ref="X20:AG20" si="27">IFERROR(X14/X15,"")</f>
        <v>0.10490196078431373</v>
      </c>
      <c r="Y20" s="11">
        <f t="shared" si="27"/>
        <v>8.8380122254924157E-2</v>
      </c>
      <c r="Z20" s="11">
        <f t="shared" si="27"/>
        <v>8.287993360383622E-2</v>
      </c>
      <c r="AA20" s="11">
        <f t="shared" si="27"/>
        <v>0.10469040849305541</v>
      </c>
      <c r="AB20" s="11">
        <f t="shared" si="27"/>
        <v>0.10445620179589403</v>
      </c>
      <c r="AC20" s="11">
        <f t="shared" si="27"/>
        <v>7.6245985488283569E-2</v>
      </c>
      <c r="AD20" s="11">
        <f t="shared" si="27"/>
        <v>0.10052351281625756</v>
      </c>
      <c r="AE20" s="11">
        <f t="shared" si="27"/>
        <v>0.1305288386715224</v>
      </c>
      <c r="AF20" s="11">
        <f t="shared" si="27"/>
        <v>0.12785236833006799</v>
      </c>
      <c r="AG20" s="11">
        <f t="shared" si="27"/>
        <v>0.10090823449841783</v>
      </c>
    </row>
    <row r="21" spans="1:33">
      <c r="A21" s="5" t="s">
        <v>91</v>
      </c>
      <c r="B21" s="11">
        <f t="shared" ref="B21:K21" si="28">IFERROR(B28/B27,"")</f>
        <v>0.37277590417490408</v>
      </c>
      <c r="C21" s="11">
        <f t="shared" si="28"/>
        <v>0.57816599687800985</v>
      </c>
      <c r="D21" s="11">
        <f t="shared" si="28"/>
        <v>0.62465076029175426</v>
      </c>
      <c r="E21" s="11">
        <f t="shared" si="28"/>
        <v>0.30276758919639879</v>
      </c>
      <c r="F21" s="11">
        <f t="shared" si="28"/>
        <v>0.33890282131661442</v>
      </c>
      <c r="G21" s="11">
        <f t="shared" si="28"/>
        <v>0.47130099074375553</v>
      </c>
      <c r="H21" s="11">
        <f t="shared" si="28"/>
        <v>0.3626814191005196</v>
      </c>
      <c r="I21" s="11">
        <f t="shared" si="28"/>
        <v>-1.6266861991088323E-2</v>
      </c>
      <c r="J21" s="11">
        <f t="shared" si="28"/>
        <v>0.48083634221141208</v>
      </c>
      <c r="K21" s="11">
        <f t="shared" si="28"/>
        <v>0.60414629376100137</v>
      </c>
      <c r="M21" s="11">
        <f t="shared" ref="M21:V21" si="29">IFERROR(B37/B36,"")</f>
        <v>0.40417205387705768</v>
      </c>
      <c r="N21" s="11">
        <f t="shared" si="29"/>
        <v>0.46033601168736304</v>
      </c>
      <c r="O21" s="11">
        <f t="shared" si="29"/>
        <v>0.45689191905517884</v>
      </c>
      <c r="P21" s="11">
        <f t="shared" si="29"/>
        <v>0.36094027369672876</v>
      </c>
      <c r="Q21" s="11">
        <f t="shared" si="29"/>
        <v>0.3898491176358807</v>
      </c>
      <c r="R21" s="11">
        <f t="shared" si="29"/>
        <v>0.4048318163122977</v>
      </c>
      <c r="S21" s="11">
        <f t="shared" si="29"/>
        <v>0.37120613041018297</v>
      </c>
      <c r="T21" s="11">
        <f t="shared" si="29"/>
        <v>0.30334639967559424</v>
      </c>
      <c r="U21" s="11">
        <f t="shared" si="29"/>
        <v>0.37992694543508682</v>
      </c>
      <c r="V21" s="11">
        <f t="shared" si="29"/>
        <v>0.39378788151292243</v>
      </c>
      <c r="X21" s="11">
        <f t="shared" ref="X21:AG21" si="30">IFERROR(B46/B45,"")</f>
        <v>0.20203242196951368</v>
      </c>
      <c r="Y21" s="11">
        <f t="shared" si="30"/>
        <v>0.41511662237968705</v>
      </c>
      <c r="Z21" s="11">
        <f t="shared" si="30"/>
        <v>0.588694021256293</v>
      </c>
      <c r="AA21" s="11">
        <f t="shared" si="30"/>
        <v>0.45723318807143465</v>
      </c>
      <c r="AB21" s="11">
        <f t="shared" si="30"/>
        <v>0.30566829951014696</v>
      </c>
      <c r="AC21" s="11">
        <f t="shared" si="30"/>
        <v>0.37621367984118392</v>
      </c>
      <c r="AD21" s="11">
        <f t="shared" si="30"/>
        <v>0.45184992522270628</v>
      </c>
      <c r="AE21" s="11">
        <f t="shared" si="30"/>
        <v>-9.1119691119691121E-2</v>
      </c>
      <c r="AF21" s="11">
        <f t="shared" si="30"/>
        <v>0.22352753773246783</v>
      </c>
      <c r="AG21" s="11">
        <f t="shared" si="30"/>
        <v>0.39790786023864305</v>
      </c>
    </row>
    <row r="22" spans="1:33">
      <c r="A22" s="5" t="s">
        <v>92</v>
      </c>
      <c r="B22" s="12">
        <f t="shared" ref="B22:K22" si="31">IF(OR(B12="",B13="",N(B12)&lt;=0),"",B13/B12)</f>
        <v>10.263267567567569</v>
      </c>
      <c r="C22" s="12">
        <f t="shared" si="31"/>
        <v>5.3630798722044739</v>
      </c>
      <c r="D22" s="12">
        <f t="shared" si="31"/>
        <v>2.6254338481338477</v>
      </c>
      <c r="E22" s="12">
        <f t="shared" si="31"/>
        <v>32.296098556495771</v>
      </c>
      <c r="F22" s="12">
        <f t="shared" si="31"/>
        <v>18.501865938222316</v>
      </c>
      <c r="G22" s="12">
        <f t="shared" si="31"/>
        <v>9.008591244670896</v>
      </c>
      <c r="H22" s="12">
        <f t="shared" si="31"/>
        <v>21.523500000000002</v>
      </c>
      <c r="I22" s="12" t="str">
        <f t="shared" si="31"/>
        <v/>
      </c>
      <c r="J22" s="12">
        <f t="shared" si="31"/>
        <v>5.6292017426882861</v>
      </c>
      <c r="K22" s="12">
        <f t="shared" si="31"/>
        <v>9.4906695911334644</v>
      </c>
      <c r="M22" s="12">
        <f t="shared" ref="M22:V22" si="32">IF(OR(M12="",M13="",N(M12)&lt;=0),"",M13/M12)</f>
        <v>10.415823110094166</v>
      </c>
      <c r="N22" s="12">
        <f t="shared" si="32"/>
        <v>8.5545666674568004</v>
      </c>
      <c r="O22" s="12">
        <f t="shared" si="32"/>
        <v>5.7173123463750137</v>
      </c>
      <c r="P22" s="12">
        <f t="shared" si="32"/>
        <v>17.144728874373246</v>
      </c>
      <c r="Q22" s="12">
        <f t="shared" si="32"/>
        <v>22.384491404119963</v>
      </c>
      <c r="R22" s="12">
        <f t="shared" si="32"/>
        <v>12.891943537865661</v>
      </c>
      <c r="S22" s="12">
        <f t="shared" si="32"/>
        <v>6.9136329252695052</v>
      </c>
      <c r="T22" s="12">
        <f t="shared" si="32"/>
        <v>36.23403961860015</v>
      </c>
      <c r="U22" s="12">
        <f t="shared" si="32"/>
        <v>9.8538676452217366</v>
      </c>
      <c r="V22" s="12">
        <f t="shared" si="32"/>
        <v>17.418656550913898</v>
      </c>
      <c r="X22" s="12" t="str">
        <f t="shared" ref="X22:AG22" si="33">IF(OR(X12="",X13="",N(X12)&lt;=0),"",X13/X12)</f>
        <v/>
      </c>
      <c r="Y22" s="12">
        <f t="shared" si="33"/>
        <v>9.3417174297504424</v>
      </c>
      <c r="Z22" s="12">
        <f t="shared" si="33"/>
        <v>2.5164485320127343</v>
      </c>
      <c r="AA22" s="12">
        <f t="shared" si="33"/>
        <v>9.4630128306668784</v>
      </c>
      <c r="AB22" s="12">
        <f t="shared" si="33"/>
        <v>31.246743580200967</v>
      </c>
      <c r="AC22" s="12">
        <f t="shared" si="33"/>
        <v>17.799010407780241</v>
      </c>
      <c r="AD22" s="12">
        <f t="shared" si="33"/>
        <v>6.2771958098307818</v>
      </c>
      <c r="AE22" s="12" t="str">
        <f t="shared" si="33"/>
        <v/>
      </c>
      <c r="AF22" s="12">
        <f t="shared" si="33"/>
        <v>126.91516709511568</v>
      </c>
      <c r="AG22" s="12">
        <f t="shared" si="33"/>
        <v>37.537182339852443</v>
      </c>
    </row>
    <row r="24" spans="1:33">
      <c r="A24" s="3" t="s">
        <v>93</v>
      </c>
    </row>
    <row r="25" spans="1:33">
      <c r="A25" s="2" t="s">
        <v>94</v>
      </c>
    </row>
    <row r="26" spans="1:33">
      <c r="A26" s="3" t="s">
        <v>95</v>
      </c>
      <c r="B26" s="13" t="s">
        <v>55</v>
      </c>
      <c r="C26" s="13" t="s">
        <v>56</v>
      </c>
      <c r="D26" s="13" t="s">
        <v>57</v>
      </c>
      <c r="E26" s="13" t="s">
        <v>58</v>
      </c>
      <c r="F26" s="13" t="s">
        <v>59</v>
      </c>
      <c r="G26" s="13" t="s">
        <v>60</v>
      </c>
      <c r="H26" s="13" t="s">
        <v>61</v>
      </c>
      <c r="I26" s="13" t="s">
        <v>62</v>
      </c>
      <c r="J26" s="13" t="s">
        <v>63</v>
      </c>
      <c r="K26" s="13" t="s">
        <v>64</v>
      </c>
    </row>
    <row r="27" spans="1:33">
      <c r="A27" s="5" t="s">
        <v>96</v>
      </c>
      <c r="B27" s="14">
        <v>17198</v>
      </c>
      <c r="C27" s="14">
        <v>30109</v>
      </c>
      <c r="D27" s="14">
        <v>40445</v>
      </c>
      <c r="E27" s="14">
        <v>26991</v>
      </c>
      <c r="F27" s="14">
        <v>31900</v>
      </c>
      <c r="G27" s="14">
        <v>42998</v>
      </c>
      <c r="H27" s="14">
        <v>44648</v>
      </c>
      <c r="I27" s="14">
        <v>32766</v>
      </c>
      <c r="J27" s="14">
        <v>66193</v>
      </c>
      <c r="K27" s="14">
        <v>97147</v>
      </c>
    </row>
    <row r="28" spans="1:33">
      <c r="A28" s="5" t="s">
        <v>97</v>
      </c>
      <c r="B28" s="14">
        <v>6411</v>
      </c>
      <c r="C28" s="14">
        <v>17408</v>
      </c>
      <c r="D28" s="14">
        <v>25264</v>
      </c>
      <c r="E28" s="14">
        <v>8172</v>
      </c>
      <c r="F28" s="14">
        <v>10811</v>
      </c>
      <c r="G28" s="14">
        <v>20265</v>
      </c>
      <c r="H28" s="14">
        <v>16193</v>
      </c>
      <c r="I28" s="14">
        <v>-533</v>
      </c>
      <c r="J28" s="14">
        <v>31828</v>
      </c>
      <c r="K28" s="14">
        <v>58691</v>
      </c>
    </row>
    <row r="29" spans="1:33">
      <c r="A29" s="5" t="s">
        <v>98</v>
      </c>
      <c r="B29" s="14">
        <v>3277</v>
      </c>
      <c r="C29" s="14">
        <v>13721</v>
      </c>
      <c r="D29" s="14">
        <v>20844</v>
      </c>
      <c r="E29" s="14">
        <v>2719</v>
      </c>
      <c r="F29" s="14">
        <v>5013</v>
      </c>
      <c r="G29" s="14">
        <v>12410</v>
      </c>
      <c r="H29" s="14">
        <v>7007</v>
      </c>
      <c r="I29" s="14">
        <v>-7730</v>
      </c>
      <c r="J29" s="14">
        <v>23468</v>
      </c>
      <c r="K29" s="14">
        <v>47206</v>
      </c>
    </row>
    <row r="30" spans="1:33">
      <c r="A30" s="5" t="s">
        <v>99</v>
      </c>
      <c r="B30" s="14">
        <v>2960</v>
      </c>
      <c r="C30" s="14">
        <v>10642</v>
      </c>
      <c r="D30" s="14">
        <v>15540</v>
      </c>
      <c r="E30" s="14">
        <v>2009</v>
      </c>
      <c r="F30" s="14">
        <v>4759</v>
      </c>
      <c r="G30" s="14">
        <v>9617</v>
      </c>
      <c r="H30" s="14">
        <v>2439</v>
      </c>
      <c r="I30" s="14">
        <v>-9138</v>
      </c>
      <c r="J30" s="14">
        <v>19797</v>
      </c>
      <c r="K30" s="14">
        <v>42948</v>
      </c>
    </row>
    <row r="31" spans="1:33">
      <c r="A31" s="5" t="s">
        <v>100</v>
      </c>
      <c r="B31" s="14">
        <v>2026</v>
      </c>
      <c r="C31" s="14">
        <v>2640</v>
      </c>
      <c r="D31" s="14">
        <v>4423</v>
      </c>
      <c r="E31" s="14">
        <v>5296</v>
      </c>
      <c r="F31" s="14">
        <v>6136</v>
      </c>
      <c r="G31" s="14">
        <v>8950</v>
      </c>
      <c r="H31" s="14">
        <v>15665</v>
      </c>
      <c r="I31" s="14">
        <v>13481</v>
      </c>
      <c r="J31" s="14">
        <v>13314</v>
      </c>
      <c r="K31" s="14">
        <v>14289</v>
      </c>
    </row>
    <row r="32" spans="1:33">
      <c r="A32" s="5" t="s">
        <v>101</v>
      </c>
      <c r="B32" s="14">
        <v>32216</v>
      </c>
      <c r="C32" s="14">
        <v>45418</v>
      </c>
      <c r="D32" s="14">
        <v>63658</v>
      </c>
      <c r="E32" s="14">
        <v>65248</v>
      </c>
      <c r="F32" s="14">
        <v>71174</v>
      </c>
      <c r="G32" s="14">
        <v>96347</v>
      </c>
      <c r="H32" s="14">
        <v>103872</v>
      </c>
      <c r="I32" s="14">
        <v>100330</v>
      </c>
      <c r="J32" s="14">
        <v>119855</v>
      </c>
      <c r="K32" s="14">
        <v>176108</v>
      </c>
    </row>
    <row r="33" spans="1:11">
      <c r="A33" s="5" t="s">
        <v>102</v>
      </c>
      <c r="B33" s="14">
        <v>26180</v>
      </c>
      <c r="C33" s="14">
        <v>50490</v>
      </c>
      <c r="D33" s="14">
        <v>37070</v>
      </c>
      <c r="E33" s="14">
        <v>55660</v>
      </c>
      <c r="F33" s="14">
        <v>74600</v>
      </c>
      <c r="G33" s="14">
        <v>75700</v>
      </c>
      <c r="H33" s="14">
        <v>40650</v>
      </c>
      <c r="I33" s="14">
        <v>77400</v>
      </c>
      <c r="J33" s="14">
        <v>81730</v>
      </c>
      <c r="K33" s="14">
        <v>286610</v>
      </c>
    </row>
    <row r="35" spans="1:11">
      <c r="A35" s="3" t="s">
        <v>103</v>
      </c>
      <c r="B35" s="13" t="s">
        <v>55</v>
      </c>
      <c r="C35" s="13" t="s">
        <v>56</v>
      </c>
      <c r="D35" s="13" t="s">
        <v>57</v>
      </c>
      <c r="E35" s="13" t="s">
        <v>58</v>
      </c>
      <c r="F35" s="13" t="s">
        <v>59</v>
      </c>
      <c r="G35" s="13" t="s">
        <v>60</v>
      </c>
      <c r="H35" s="13" t="s">
        <v>61</v>
      </c>
      <c r="I35" s="13" t="s">
        <v>62</v>
      </c>
      <c r="J35" s="13" t="s">
        <v>63</v>
      </c>
      <c r="K35" s="13" t="s">
        <v>64</v>
      </c>
    </row>
    <row r="36" spans="1:11">
      <c r="A36" s="5" t="s">
        <v>96</v>
      </c>
      <c r="B36" s="14">
        <v>201867</v>
      </c>
      <c r="C36" s="14">
        <v>239575</v>
      </c>
      <c r="D36" s="14">
        <v>243771</v>
      </c>
      <c r="E36" s="14">
        <v>230401</v>
      </c>
      <c r="F36" s="14">
        <v>236807</v>
      </c>
      <c r="G36" s="14">
        <v>279605</v>
      </c>
      <c r="H36" s="14">
        <v>302231</v>
      </c>
      <c r="I36" s="14">
        <v>258935</v>
      </c>
      <c r="J36" s="14">
        <v>300871</v>
      </c>
      <c r="K36" s="14">
        <v>333606</v>
      </c>
    </row>
    <row r="37" spans="1:11">
      <c r="A37" s="5" t="s">
        <v>97</v>
      </c>
      <c r="B37" s="14">
        <v>81589</v>
      </c>
      <c r="C37" s="14">
        <v>110285</v>
      </c>
      <c r="D37" s="14">
        <v>111377</v>
      </c>
      <c r="E37" s="14">
        <v>83161</v>
      </c>
      <c r="F37" s="14">
        <v>92319</v>
      </c>
      <c r="G37" s="14">
        <v>113193</v>
      </c>
      <c r="H37" s="14">
        <v>112190</v>
      </c>
      <c r="I37" s="14">
        <v>78547</v>
      </c>
      <c r="J37" s="14">
        <v>114309</v>
      </c>
      <c r="K37" s="14">
        <v>131370</v>
      </c>
    </row>
    <row r="38" spans="1:11">
      <c r="A38" s="5" t="s">
        <v>98</v>
      </c>
      <c r="B38" s="14">
        <v>29241</v>
      </c>
      <c r="C38" s="14">
        <v>53645</v>
      </c>
      <c r="D38" s="14">
        <v>58887</v>
      </c>
      <c r="E38" s="14">
        <v>27769</v>
      </c>
      <c r="F38" s="14">
        <v>35994</v>
      </c>
      <c r="G38" s="14">
        <v>51634</v>
      </c>
      <c r="H38" s="14">
        <v>43377</v>
      </c>
      <c r="I38" s="14">
        <v>6567</v>
      </c>
      <c r="J38" s="14">
        <v>32726</v>
      </c>
      <c r="K38" s="14">
        <v>43601</v>
      </c>
    </row>
    <row r="39" spans="1:11">
      <c r="A39" s="5" t="s">
        <v>99</v>
      </c>
      <c r="B39" s="14">
        <v>22726</v>
      </c>
      <c r="C39" s="14">
        <v>42187</v>
      </c>
      <c r="D39" s="14">
        <v>44345</v>
      </c>
      <c r="E39" s="14">
        <v>21739</v>
      </c>
      <c r="F39" s="14">
        <v>26408</v>
      </c>
      <c r="G39" s="14">
        <v>39244</v>
      </c>
      <c r="H39" s="14">
        <v>54730</v>
      </c>
      <c r="I39" s="14">
        <v>14473</v>
      </c>
      <c r="J39" s="14">
        <v>33621</v>
      </c>
      <c r="K39" s="14">
        <v>44261</v>
      </c>
    </row>
    <row r="40" spans="1:11">
      <c r="A40" s="5" t="s">
        <v>100</v>
      </c>
      <c r="B40" s="14">
        <v>18354</v>
      </c>
      <c r="C40" s="14">
        <v>24983</v>
      </c>
      <c r="D40" s="14">
        <v>28985</v>
      </c>
      <c r="E40" s="14">
        <v>26766</v>
      </c>
      <c r="F40" s="14">
        <v>32043</v>
      </c>
      <c r="G40" s="14">
        <v>41384</v>
      </c>
      <c r="H40" s="14">
        <v>52188</v>
      </c>
      <c r="I40" s="14">
        <v>51626</v>
      </c>
      <c r="J40" s="14">
        <v>51755</v>
      </c>
      <c r="K40" s="14">
        <v>52637</v>
      </c>
    </row>
    <row r="41" spans="1:11">
      <c r="A41" s="5" t="s">
        <v>101</v>
      </c>
      <c r="B41" s="14">
        <v>262174</v>
      </c>
      <c r="C41" s="14">
        <v>301752</v>
      </c>
      <c r="D41" s="14">
        <v>339357</v>
      </c>
      <c r="E41" s="14">
        <v>352564</v>
      </c>
      <c r="F41" s="14">
        <v>378236</v>
      </c>
      <c r="G41" s="14">
        <v>426621</v>
      </c>
      <c r="H41" s="14">
        <v>448425</v>
      </c>
      <c r="I41" s="14">
        <v>455906</v>
      </c>
      <c r="J41" s="14">
        <v>514532</v>
      </c>
      <c r="K41" s="14">
        <v>566942</v>
      </c>
    </row>
    <row r="42" spans="1:11">
      <c r="A42" s="5" t="s">
        <v>102</v>
      </c>
      <c r="B42" s="14">
        <v>203990</v>
      </c>
      <c r="C42" s="14">
        <v>319260</v>
      </c>
      <c r="D42" s="14">
        <v>230360</v>
      </c>
      <c r="E42" s="14">
        <v>319730</v>
      </c>
      <c r="F42" s="14">
        <v>500830</v>
      </c>
      <c r="G42" s="14">
        <v>442070</v>
      </c>
      <c r="H42" s="14">
        <v>293000</v>
      </c>
      <c r="I42" s="14">
        <v>401540</v>
      </c>
      <c r="J42" s="14">
        <v>242970</v>
      </c>
      <c r="K42" s="14">
        <v>542110</v>
      </c>
    </row>
    <row r="44" spans="1:11">
      <c r="A44" s="3" t="s">
        <v>104</v>
      </c>
      <c r="B44" s="13" t="s">
        <v>71</v>
      </c>
      <c r="C44" s="13" t="s">
        <v>72</v>
      </c>
      <c r="D44" s="13" t="s">
        <v>73</v>
      </c>
      <c r="E44" s="13" t="s">
        <v>74</v>
      </c>
      <c r="F44" s="13" t="s">
        <v>75</v>
      </c>
      <c r="G44" s="13" t="s">
        <v>76</v>
      </c>
      <c r="H44" s="13" t="s">
        <v>77</v>
      </c>
      <c r="I44" s="13" t="s">
        <v>78</v>
      </c>
      <c r="J44" s="13" t="s">
        <v>79</v>
      </c>
      <c r="K44" s="13" t="s">
        <v>80</v>
      </c>
    </row>
    <row r="45" spans="1:11">
      <c r="A45" s="5" t="s">
        <v>96</v>
      </c>
      <c r="B45" s="14">
        <v>12399</v>
      </c>
      <c r="C45" s="14">
        <v>20322</v>
      </c>
      <c r="D45" s="14">
        <v>30391</v>
      </c>
      <c r="E45" s="14">
        <v>23406</v>
      </c>
      <c r="F45" s="14">
        <v>21435</v>
      </c>
      <c r="G45" s="14">
        <v>27705</v>
      </c>
      <c r="H45" s="14">
        <v>30758</v>
      </c>
      <c r="I45" s="14">
        <v>15540</v>
      </c>
      <c r="J45" s="14">
        <v>25111</v>
      </c>
      <c r="K45" s="14">
        <v>37378</v>
      </c>
    </row>
    <row r="46" spans="1:11">
      <c r="A46" s="5" t="s">
        <v>97</v>
      </c>
      <c r="B46" s="14">
        <v>2505</v>
      </c>
      <c r="C46" s="14">
        <v>8436</v>
      </c>
      <c r="D46" s="14">
        <v>17891</v>
      </c>
      <c r="E46" s="14">
        <v>10702</v>
      </c>
      <c r="F46" s="14">
        <v>6552</v>
      </c>
      <c r="G46" s="14">
        <v>10423</v>
      </c>
      <c r="H46" s="14">
        <v>13898</v>
      </c>
      <c r="I46" s="14">
        <v>-1416</v>
      </c>
      <c r="J46" s="14">
        <v>5613</v>
      </c>
      <c r="K46" s="14">
        <v>14873</v>
      </c>
    </row>
    <row r="47" spans="1:11">
      <c r="A47" s="5" t="s">
        <v>98</v>
      </c>
      <c r="B47" s="14">
        <v>168</v>
      </c>
      <c r="C47" s="14">
        <v>5868</v>
      </c>
      <c r="D47" s="14">
        <v>14994</v>
      </c>
      <c r="E47" s="14">
        <v>7376</v>
      </c>
      <c r="F47" s="14">
        <v>3003</v>
      </c>
      <c r="G47" s="14">
        <v>6283</v>
      </c>
      <c r="H47" s="14">
        <v>9702</v>
      </c>
      <c r="I47" s="14">
        <v>-5745</v>
      </c>
      <c r="J47" s="14">
        <v>1304</v>
      </c>
      <c r="K47" s="14">
        <v>9770</v>
      </c>
    </row>
    <row r="48" spans="1:11">
      <c r="A48" s="5" t="s">
        <v>99</v>
      </c>
      <c r="B48" s="14">
        <v>-276</v>
      </c>
      <c r="C48" s="14">
        <v>5089</v>
      </c>
      <c r="D48" s="14">
        <v>14135</v>
      </c>
      <c r="E48" s="14">
        <v>6313</v>
      </c>
      <c r="F48" s="14">
        <v>2687</v>
      </c>
      <c r="G48" s="14">
        <v>5861</v>
      </c>
      <c r="H48" s="14">
        <v>8687</v>
      </c>
      <c r="I48" s="14">
        <v>-5833</v>
      </c>
      <c r="J48" s="14">
        <v>778</v>
      </c>
      <c r="K48" s="14">
        <v>8539</v>
      </c>
    </row>
    <row r="49" spans="1:11">
      <c r="A49" s="5" t="s">
        <v>100</v>
      </c>
      <c r="B49" s="14">
        <v>2889</v>
      </c>
      <c r="C49" s="14">
        <v>3123</v>
      </c>
      <c r="D49" s="14">
        <v>3595</v>
      </c>
      <c r="E49" s="14">
        <v>5118</v>
      </c>
      <c r="F49" s="14">
        <v>5607</v>
      </c>
      <c r="G49" s="14">
        <v>4487</v>
      </c>
      <c r="H49" s="14">
        <v>6663</v>
      </c>
      <c r="I49" s="14">
        <v>8387</v>
      </c>
      <c r="J49" s="14">
        <v>8875</v>
      </c>
      <c r="K49" s="14">
        <v>8355</v>
      </c>
    </row>
    <row r="50" spans="1:11">
      <c r="A50" s="5" t="s">
        <v>101</v>
      </c>
      <c r="B50" s="14">
        <v>27540</v>
      </c>
      <c r="C50" s="14">
        <v>35336</v>
      </c>
      <c r="D50" s="14">
        <v>43376</v>
      </c>
      <c r="E50" s="14">
        <v>48887</v>
      </c>
      <c r="F50" s="14">
        <v>53678</v>
      </c>
      <c r="G50" s="14">
        <v>58849</v>
      </c>
      <c r="H50" s="14">
        <v>66283</v>
      </c>
      <c r="I50" s="14">
        <v>64254</v>
      </c>
      <c r="J50" s="14">
        <v>69416</v>
      </c>
      <c r="K50" s="14">
        <v>82798</v>
      </c>
    </row>
    <row r="51" spans="1:11">
      <c r="A51" s="5" t="s">
        <v>102</v>
      </c>
      <c r="B51" s="14">
        <v>24090</v>
      </c>
      <c r="C51" s="14">
        <v>47540</v>
      </c>
      <c r="D51" s="14">
        <v>35570</v>
      </c>
      <c r="E51" s="14">
        <v>59740</v>
      </c>
      <c r="F51" s="14">
        <v>83960</v>
      </c>
      <c r="G51" s="14">
        <v>104320</v>
      </c>
      <c r="H51" s="14">
        <v>54530</v>
      </c>
      <c r="I51" s="14">
        <v>94200</v>
      </c>
      <c r="J51" s="14">
        <v>98740</v>
      </c>
      <c r="K51" s="14">
        <v>320530</v>
      </c>
    </row>
  </sheetData>
  <mergeCells count="3">
    <mergeCell ref="X8:AG8"/>
    <mergeCell ref="B8:K8"/>
    <mergeCell ref="M8:V8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8"/>
  <sheetViews>
    <sheetView workbookViewId="0">
      <pane xSplit="1" ySplit="4" topLeftCell="B5" activePane="bottomRight" state="frozen"/>
      <selection pane="topRight"/>
      <selection pane="bottomLeft"/>
      <selection pane="bottomRight" activeCell="L12" sqref="L12"/>
    </sheetView>
  </sheetViews>
  <sheetFormatPr defaultRowHeight="14.5"/>
  <cols>
    <col min="1" max="1" width="42" customWidth="1"/>
    <col min="2" max="21" width="9.453125" customWidth="1"/>
  </cols>
  <sheetData>
    <row r="1" spans="1:21" ht="18">
      <c r="A1" s="1" t="s">
        <v>105</v>
      </c>
    </row>
    <row r="2" spans="1:21">
      <c r="A2" s="2" t="s">
        <v>106</v>
      </c>
    </row>
    <row r="4" spans="1:21">
      <c r="A4" s="8" t="s">
        <v>70</v>
      </c>
      <c r="B4" s="9" t="s">
        <v>127</v>
      </c>
      <c r="C4" s="9" t="s">
        <v>128</v>
      </c>
      <c r="D4" s="9" t="s">
        <v>129</v>
      </c>
      <c r="E4" s="9" t="s">
        <v>130</v>
      </c>
      <c r="F4" s="9" t="s">
        <v>131</v>
      </c>
      <c r="G4" s="9" t="s">
        <v>132</v>
      </c>
      <c r="H4" s="9" t="s">
        <v>133</v>
      </c>
      <c r="I4" s="9" t="s">
        <v>134</v>
      </c>
      <c r="J4" s="9" t="s">
        <v>135</v>
      </c>
      <c r="K4" s="9" t="s">
        <v>136</v>
      </c>
      <c r="L4" s="9" t="s">
        <v>137</v>
      </c>
      <c r="M4" s="9" t="s">
        <v>138</v>
      </c>
      <c r="N4" s="9" t="s">
        <v>139</v>
      </c>
      <c r="O4" s="9" t="s">
        <v>140</v>
      </c>
      <c r="P4" s="9" t="s">
        <v>141</v>
      </c>
      <c r="Q4" s="9" t="s">
        <v>142</v>
      </c>
      <c r="R4" s="9" t="s">
        <v>143</v>
      </c>
      <c r="S4" s="9" t="s">
        <v>144</v>
      </c>
      <c r="T4" s="9" t="s">
        <v>145</v>
      </c>
      <c r="U4" s="9" t="s">
        <v>146</v>
      </c>
    </row>
    <row r="5" spans="1:21">
      <c r="A5" s="3" t="s">
        <v>147</v>
      </c>
    </row>
    <row r="6" spans="1:21">
      <c r="A6" s="5" t="s">
        <v>96</v>
      </c>
      <c r="B6" s="14">
        <v>11805</v>
      </c>
      <c r="C6" s="14">
        <v>12377</v>
      </c>
      <c r="D6" s="14">
        <v>12156</v>
      </c>
      <c r="E6" s="14">
        <v>13811</v>
      </c>
      <c r="F6" s="14">
        <v>10983</v>
      </c>
      <c r="G6" s="14">
        <v>7672</v>
      </c>
      <c r="H6" s="14">
        <v>5088</v>
      </c>
      <c r="I6" s="14">
        <v>7306</v>
      </c>
      <c r="J6" s="14">
        <v>9066</v>
      </c>
      <c r="K6" s="14">
        <v>11306</v>
      </c>
      <c r="L6" s="14">
        <v>12430</v>
      </c>
      <c r="M6" s="14">
        <v>16423</v>
      </c>
      <c r="N6" s="14">
        <v>17573</v>
      </c>
      <c r="O6" s="14">
        <v>19767</v>
      </c>
      <c r="P6" s="14">
        <v>17639</v>
      </c>
      <c r="Q6" s="14">
        <v>22232</v>
      </c>
      <c r="R6" s="14">
        <v>24449</v>
      </c>
      <c r="S6" s="14">
        <v>32827</v>
      </c>
      <c r="T6" s="14">
        <v>52576</v>
      </c>
      <c r="U6" s="14">
        <v>79319</v>
      </c>
    </row>
    <row r="7" spans="1:21">
      <c r="A7" s="5" t="s">
        <v>97</v>
      </c>
      <c r="B7" s="14">
        <v>5831</v>
      </c>
      <c r="C7" s="14">
        <v>6053</v>
      </c>
      <c r="D7" s="14">
        <v>5401</v>
      </c>
      <c r="E7" s="14">
        <v>6338</v>
      </c>
      <c r="F7" s="14">
        <v>3866</v>
      </c>
      <c r="G7" s="14">
        <v>23</v>
      </c>
      <c r="H7" s="14">
        <v>-1645</v>
      </c>
      <c r="I7" s="14">
        <v>-1178</v>
      </c>
      <c r="J7" s="14">
        <v>64</v>
      </c>
      <c r="K7" s="14">
        <v>2226</v>
      </c>
      <c r="L7" s="14">
        <v>4795</v>
      </c>
      <c r="M7" s="14">
        <v>7496</v>
      </c>
      <c r="N7" s="14">
        <v>9171</v>
      </c>
      <c r="O7" s="14">
        <v>10366</v>
      </c>
      <c r="P7" s="14">
        <v>10102</v>
      </c>
      <c r="Q7" s="14">
        <v>11983</v>
      </c>
      <c r="R7" s="14">
        <v>14029</v>
      </c>
      <c r="S7" s="14">
        <v>22576</v>
      </c>
      <c r="T7" s="14">
        <v>41679</v>
      </c>
      <c r="U7" s="14">
        <v>65992</v>
      </c>
    </row>
    <row r="8" spans="1:21">
      <c r="A8" s="5" t="s">
        <v>98</v>
      </c>
      <c r="B8" s="14">
        <v>4172</v>
      </c>
      <c r="C8" s="14">
        <v>4220</v>
      </c>
      <c r="D8" s="14">
        <v>2864</v>
      </c>
      <c r="E8" s="14">
        <v>4197</v>
      </c>
      <c r="F8" s="14">
        <v>1661</v>
      </c>
      <c r="G8" s="14">
        <v>-1912</v>
      </c>
      <c r="H8" s="14">
        <v>-3402</v>
      </c>
      <c r="I8" s="14">
        <v>-2882</v>
      </c>
      <c r="J8" s="14">
        <v>-1792</v>
      </c>
      <c r="K8" s="14">
        <v>346</v>
      </c>
      <c r="L8" s="14">
        <v>2886</v>
      </c>
      <c r="M8" s="14">
        <v>5469</v>
      </c>
      <c r="N8" s="14">
        <v>7030</v>
      </c>
      <c r="O8" s="14">
        <v>8083</v>
      </c>
      <c r="P8" s="14">
        <v>7441</v>
      </c>
      <c r="Q8" s="14">
        <v>9213</v>
      </c>
      <c r="R8" s="14">
        <v>11383</v>
      </c>
      <c r="S8" s="14">
        <v>19170</v>
      </c>
      <c r="T8" s="14">
        <v>37610</v>
      </c>
      <c r="U8" s="14">
        <v>60543</v>
      </c>
    </row>
    <row r="9" spans="1:21">
      <c r="A9" s="5" t="s">
        <v>99</v>
      </c>
      <c r="B9" s="14">
        <v>3311</v>
      </c>
      <c r="C9" s="14">
        <v>3317</v>
      </c>
      <c r="D9" s="14">
        <v>1983</v>
      </c>
      <c r="E9" s="14">
        <v>2876</v>
      </c>
      <c r="F9" s="14">
        <v>1112</v>
      </c>
      <c r="G9" s="14">
        <v>-3741</v>
      </c>
      <c r="H9" s="14">
        <v>-2580</v>
      </c>
      <c r="I9" s="14">
        <v>-2991</v>
      </c>
      <c r="J9" s="14">
        <v>-2184</v>
      </c>
      <c r="K9" s="14">
        <v>-1357</v>
      </c>
      <c r="L9" s="14">
        <v>1919</v>
      </c>
      <c r="M9" s="14">
        <v>4120</v>
      </c>
      <c r="N9" s="14">
        <v>5749</v>
      </c>
      <c r="O9" s="14">
        <v>8000</v>
      </c>
      <c r="P9" s="14">
        <v>8107</v>
      </c>
      <c r="Q9" s="14">
        <v>6997</v>
      </c>
      <c r="R9" s="14">
        <v>12595</v>
      </c>
      <c r="S9" s="14">
        <v>15220</v>
      </c>
      <c r="T9" s="14">
        <v>40330</v>
      </c>
      <c r="U9" s="14">
        <v>93923</v>
      </c>
    </row>
    <row r="10" spans="1:21">
      <c r="A10" s="5" t="s">
        <v>148</v>
      </c>
      <c r="B10" s="14">
        <v>70825</v>
      </c>
      <c r="C10" s="14">
        <v>90078</v>
      </c>
      <c r="D10" s="14">
        <v>81139</v>
      </c>
      <c r="E10" s="14">
        <v>62576</v>
      </c>
      <c r="F10" s="14">
        <v>57144</v>
      </c>
      <c r="G10" s="14">
        <v>51574</v>
      </c>
      <c r="H10" s="14">
        <v>60926</v>
      </c>
      <c r="I10" s="14">
        <v>79264</v>
      </c>
      <c r="J10" s="14">
        <v>78924</v>
      </c>
      <c r="K10" s="14">
        <v>97368</v>
      </c>
      <c r="L10" s="14">
        <v>125929</v>
      </c>
      <c r="M10" s="14">
        <v>162745</v>
      </c>
      <c r="N10" s="14">
        <v>120233</v>
      </c>
      <c r="O10" s="14">
        <v>119824</v>
      </c>
      <c r="P10" s="14">
        <v>131400</v>
      </c>
      <c r="Q10" s="14">
        <v>201581</v>
      </c>
      <c r="R10" s="14">
        <v>239918</v>
      </c>
      <c r="S10" s="14">
        <v>449486</v>
      </c>
      <c r="T10" s="14">
        <v>566265</v>
      </c>
      <c r="U10" s="14">
        <v>1876987</v>
      </c>
    </row>
    <row r="11" spans="1:21">
      <c r="A11" s="4" t="s">
        <v>89</v>
      </c>
      <c r="B11" s="15">
        <f t="shared" ref="B11:U11" si="0">IF(OR(B9="",B10=""),"",B9/B10)</f>
        <v>4.6749029297564422E-2</v>
      </c>
      <c r="C11" s="15">
        <f t="shared" si="0"/>
        <v>3.6823641732720534E-2</v>
      </c>
      <c r="D11" s="15">
        <f t="shared" si="0"/>
        <v>2.4439542020483367E-2</v>
      </c>
      <c r="E11" s="15">
        <f t="shared" si="0"/>
        <v>4.5960112503196114E-2</v>
      </c>
      <c r="F11" s="15">
        <f t="shared" si="0"/>
        <v>1.9459610807783845E-2</v>
      </c>
      <c r="G11" s="15">
        <f t="shared" si="0"/>
        <v>-7.2536549424128433E-2</v>
      </c>
      <c r="H11" s="15">
        <f t="shared" si="0"/>
        <v>-4.2346453074221184E-2</v>
      </c>
      <c r="I11" s="15">
        <f t="shared" si="0"/>
        <v>-3.7734658861526042E-2</v>
      </c>
      <c r="J11" s="15">
        <f t="shared" si="0"/>
        <v>-2.7672190968526685E-2</v>
      </c>
      <c r="K11" s="15">
        <f t="shared" si="0"/>
        <v>-1.3936817024073617E-2</v>
      </c>
      <c r="L11" s="15">
        <f t="shared" si="0"/>
        <v>1.5238745642385788E-2</v>
      </c>
      <c r="M11" s="15">
        <f t="shared" si="0"/>
        <v>2.5315677901010785E-2</v>
      </c>
      <c r="N11" s="15">
        <f t="shared" si="0"/>
        <v>4.7815491587168246E-2</v>
      </c>
      <c r="O11" s="15">
        <f t="shared" si="0"/>
        <v>6.676458806249165E-2</v>
      </c>
      <c r="P11" s="15">
        <f t="shared" si="0"/>
        <v>6.1697108066971082E-2</v>
      </c>
      <c r="Q11" s="15">
        <f t="shared" si="0"/>
        <v>3.4710612607338986E-2</v>
      </c>
      <c r="R11" s="15">
        <f t="shared" si="0"/>
        <v>5.2497103176918782E-2</v>
      </c>
      <c r="S11" s="15">
        <f t="shared" si="0"/>
        <v>3.3860898893402686E-2</v>
      </c>
      <c r="T11" s="15">
        <f t="shared" si="0"/>
        <v>7.1221071406496958E-2</v>
      </c>
      <c r="U11" s="15">
        <f t="shared" si="0"/>
        <v>5.0039238417740772E-2</v>
      </c>
    </row>
    <row r="12" spans="1:21">
      <c r="A12" s="5" t="s">
        <v>92</v>
      </c>
      <c r="B12" s="16">
        <f t="shared" ref="B12:U12" si="1">IF(OR(B9="",B10="",N(B9)&lt;=0),"",B10/B9)</f>
        <v>21.390818483841741</v>
      </c>
      <c r="C12" s="16">
        <f t="shared" si="1"/>
        <v>27.15646668676515</v>
      </c>
      <c r="D12" s="16">
        <f t="shared" si="1"/>
        <v>40.917297024710038</v>
      </c>
      <c r="E12" s="16">
        <f t="shared" si="1"/>
        <v>21.757997218358831</v>
      </c>
      <c r="F12" s="16">
        <f t="shared" si="1"/>
        <v>51.388489208633096</v>
      </c>
      <c r="G12" s="16" t="str">
        <f t="shared" si="1"/>
        <v/>
      </c>
      <c r="H12" s="16" t="str">
        <f t="shared" si="1"/>
        <v/>
      </c>
      <c r="I12" s="16" t="str">
        <f t="shared" si="1"/>
        <v/>
      </c>
      <c r="J12" s="16" t="str">
        <f t="shared" si="1"/>
        <v/>
      </c>
      <c r="K12" s="16" t="str">
        <f t="shared" si="1"/>
        <v/>
      </c>
      <c r="L12" s="16">
        <f t="shared" si="1"/>
        <v>65.622199062011461</v>
      </c>
      <c r="M12" s="16">
        <f t="shared" si="1"/>
        <v>39.501213592233007</v>
      </c>
      <c r="N12" s="16">
        <f t="shared" si="1"/>
        <v>20.913724125934944</v>
      </c>
      <c r="O12" s="16">
        <f t="shared" si="1"/>
        <v>14.978</v>
      </c>
      <c r="P12" s="16">
        <f t="shared" si="1"/>
        <v>16.208215122733439</v>
      </c>
      <c r="Q12" s="16">
        <f t="shared" si="1"/>
        <v>28.809632699728454</v>
      </c>
      <c r="R12" s="16">
        <f t="shared" si="1"/>
        <v>19.048670107185391</v>
      </c>
      <c r="S12" s="16">
        <f t="shared" si="1"/>
        <v>29.532588699080158</v>
      </c>
      <c r="T12" s="16">
        <f t="shared" si="1"/>
        <v>14.040788494916935</v>
      </c>
      <c r="U12" s="16">
        <f t="shared" si="1"/>
        <v>19.984316940472514</v>
      </c>
    </row>
    <row r="14" spans="1:21">
      <c r="A14" s="3" t="s">
        <v>149</v>
      </c>
    </row>
    <row r="15" spans="1:21">
      <c r="A15" s="5" t="s">
        <v>100</v>
      </c>
      <c r="B15" s="14">
        <v>6600</v>
      </c>
      <c r="C15" s="14">
        <v>8950</v>
      </c>
      <c r="D15" s="14">
        <v>10393</v>
      </c>
      <c r="E15" s="14">
        <v>11879</v>
      </c>
      <c r="F15" s="14">
        <v>14665</v>
      </c>
      <c r="G15" s="14">
        <v>15665</v>
      </c>
      <c r="H15" s="14">
        <v>17182</v>
      </c>
      <c r="I15" s="14">
        <v>16420</v>
      </c>
      <c r="J15" s="14">
        <v>14948</v>
      </c>
      <c r="K15" s="14">
        <v>13481</v>
      </c>
      <c r="L15" s="14">
        <v>13845</v>
      </c>
      <c r="M15" s="14">
        <v>13355</v>
      </c>
      <c r="N15" s="14">
        <v>13354</v>
      </c>
      <c r="O15" s="14">
        <v>13314</v>
      </c>
      <c r="P15" s="14">
        <v>14551</v>
      </c>
      <c r="Q15" s="14">
        <v>13408</v>
      </c>
      <c r="R15" s="14">
        <v>13156</v>
      </c>
      <c r="S15" s="14">
        <v>14289</v>
      </c>
      <c r="T15" s="14">
        <v>15974</v>
      </c>
      <c r="U15" s="14">
        <v>17986</v>
      </c>
    </row>
    <row r="16" spans="1:21">
      <c r="A16" s="5" t="s">
        <v>101</v>
      </c>
      <c r="B16" s="14">
        <v>83269</v>
      </c>
      <c r="C16" s="14">
        <v>96347</v>
      </c>
      <c r="D16" s="14">
        <v>99466</v>
      </c>
      <c r="E16" s="14">
        <v>104148</v>
      </c>
      <c r="F16" s="14">
        <v>109546</v>
      </c>
      <c r="G16" s="14">
        <v>103872</v>
      </c>
      <c r="H16" s="14">
        <v>104385</v>
      </c>
      <c r="I16" s="14">
        <v>102819</v>
      </c>
      <c r="J16" s="14">
        <v>102049</v>
      </c>
      <c r="K16" s="14">
        <v>100330</v>
      </c>
      <c r="L16" s="14">
        <v>103198</v>
      </c>
      <c r="M16" s="14">
        <v>105624</v>
      </c>
      <c r="N16" s="14">
        <v>108367</v>
      </c>
      <c r="O16" s="14">
        <v>119855</v>
      </c>
      <c r="P16" s="14">
        <v>123985</v>
      </c>
      <c r="Q16" s="14">
        <v>129088</v>
      </c>
      <c r="R16" s="14">
        <v>148435</v>
      </c>
      <c r="S16" s="14">
        <v>176108</v>
      </c>
      <c r="T16" s="14">
        <v>222829</v>
      </c>
      <c r="U16" s="14">
        <v>348862</v>
      </c>
    </row>
    <row r="18" spans="1:21">
      <c r="A18" s="3" t="s">
        <v>150</v>
      </c>
    </row>
    <row r="19" spans="1:21">
      <c r="A19" s="4" t="s">
        <v>87</v>
      </c>
      <c r="B19" s="15">
        <f t="shared" ref="B19:U19" si="2">IF(OR(B8="",B6=""),"",B8/B6)</f>
        <v>0.35340957221516306</v>
      </c>
      <c r="C19" s="15">
        <f t="shared" si="2"/>
        <v>0.3409549971721742</v>
      </c>
      <c r="D19" s="15">
        <f t="shared" si="2"/>
        <v>0.23560381704508063</v>
      </c>
      <c r="E19" s="15">
        <f t="shared" si="2"/>
        <v>0.30388820505394248</v>
      </c>
      <c r="F19" s="15">
        <f t="shared" si="2"/>
        <v>0.15123372484749159</v>
      </c>
      <c r="G19" s="15">
        <f t="shared" si="2"/>
        <v>-0.24921793534932221</v>
      </c>
      <c r="H19" s="15">
        <f t="shared" si="2"/>
        <v>-0.66863207547169812</v>
      </c>
      <c r="I19" s="15">
        <f t="shared" si="2"/>
        <v>-0.39447029838488912</v>
      </c>
      <c r="J19" s="15">
        <f t="shared" si="2"/>
        <v>-0.19766159276417383</v>
      </c>
      <c r="K19" s="15">
        <f t="shared" si="2"/>
        <v>3.0603219529453388E-2</v>
      </c>
      <c r="L19" s="15">
        <f t="shared" si="2"/>
        <v>0.23218020917135962</v>
      </c>
      <c r="M19" s="15">
        <f t="shared" si="2"/>
        <v>0.33300858552030688</v>
      </c>
      <c r="N19" s="15">
        <f t="shared" si="2"/>
        <v>0.40004552438399815</v>
      </c>
      <c r="O19" s="15">
        <f t="shared" si="2"/>
        <v>0.40891384630950572</v>
      </c>
      <c r="P19" s="15">
        <f t="shared" si="2"/>
        <v>0.42184931118544133</v>
      </c>
      <c r="Q19" s="15">
        <f t="shared" si="2"/>
        <v>0.41440266282835553</v>
      </c>
      <c r="R19" s="15">
        <f t="shared" si="2"/>
        <v>0.465581414372776</v>
      </c>
      <c r="S19" s="15">
        <f t="shared" si="2"/>
        <v>0.58397051207847195</v>
      </c>
      <c r="T19" s="15">
        <f t="shared" si="2"/>
        <v>0.71534540474741326</v>
      </c>
      <c r="U19" s="15">
        <f t="shared" si="2"/>
        <v>0.76328496324966277</v>
      </c>
    </row>
    <row r="20" spans="1:21">
      <c r="A20" s="4" t="s">
        <v>88</v>
      </c>
      <c r="B20" s="15">
        <f t="shared" ref="B20:U20" si="3">IF(OR(B9="",B6=""),"",B9/B6)</f>
        <v>0.28047437526471836</v>
      </c>
      <c r="C20" s="15">
        <f t="shared" si="3"/>
        <v>0.26799709137917105</v>
      </c>
      <c r="D20" s="15">
        <f t="shared" si="3"/>
        <v>0.16312931885488646</v>
      </c>
      <c r="E20" s="15">
        <f t="shared" si="3"/>
        <v>0.20823980884801968</v>
      </c>
      <c r="F20" s="15">
        <f t="shared" si="3"/>
        <v>0.10124738231812802</v>
      </c>
      <c r="G20" s="15">
        <f t="shared" si="3"/>
        <v>-0.48761730969760164</v>
      </c>
      <c r="H20" s="15">
        <f t="shared" si="3"/>
        <v>-0.50707547169811318</v>
      </c>
      <c r="I20" s="15">
        <f t="shared" si="3"/>
        <v>-0.40938954284150014</v>
      </c>
      <c r="J20" s="15">
        <f t="shared" si="3"/>
        <v>-0.24090006618133686</v>
      </c>
      <c r="K20" s="15">
        <f t="shared" si="3"/>
        <v>-0.1200247656111799</v>
      </c>
      <c r="L20" s="15">
        <f t="shared" si="3"/>
        <v>0.15438455349959776</v>
      </c>
      <c r="M20" s="15">
        <f t="shared" si="3"/>
        <v>0.25086768556293004</v>
      </c>
      <c r="N20" s="15">
        <f t="shared" si="3"/>
        <v>0.32714960450691399</v>
      </c>
      <c r="O20" s="15">
        <f t="shared" si="3"/>
        <v>0.40471492892194061</v>
      </c>
      <c r="P20" s="15">
        <f t="shared" si="3"/>
        <v>0.45960655365950448</v>
      </c>
      <c r="Q20" s="15">
        <f t="shared" si="3"/>
        <v>0.31472652033105436</v>
      </c>
      <c r="R20" s="15">
        <f t="shared" si="3"/>
        <v>0.51515399402838558</v>
      </c>
      <c r="S20" s="15">
        <f t="shared" si="3"/>
        <v>0.46364273311603255</v>
      </c>
      <c r="T20" s="15">
        <f t="shared" si="3"/>
        <v>0.7670800365185636</v>
      </c>
      <c r="U20" s="15">
        <f t="shared" si="3"/>
        <v>1.1841172985035111</v>
      </c>
    </row>
    <row r="21" spans="1:21">
      <c r="A21" s="4" t="s">
        <v>90</v>
      </c>
      <c r="B21" s="15">
        <f t="shared" ref="B21:U21" si="4">IF(OR(B15="",B16=""),"",B15/B16)</f>
        <v>7.9261189638400842E-2</v>
      </c>
      <c r="C21" s="15">
        <f t="shared" si="4"/>
        <v>9.2893395746624183E-2</v>
      </c>
      <c r="D21" s="15">
        <f t="shared" si="4"/>
        <v>0.10448796573703577</v>
      </c>
      <c r="E21" s="15">
        <f t="shared" si="4"/>
        <v>0.11405883934401044</v>
      </c>
      <c r="F21" s="15">
        <f t="shared" si="4"/>
        <v>0.13387070271849269</v>
      </c>
      <c r="G21" s="15">
        <f t="shared" si="4"/>
        <v>0.15081061306223043</v>
      </c>
      <c r="H21" s="15">
        <f t="shared" si="4"/>
        <v>0.16460219380179145</v>
      </c>
      <c r="I21" s="15">
        <f t="shared" si="4"/>
        <v>0.1596981102714479</v>
      </c>
      <c r="J21" s="15">
        <f t="shared" si="4"/>
        <v>0.14647865241207655</v>
      </c>
      <c r="K21" s="15">
        <f t="shared" si="4"/>
        <v>0.13436659025216785</v>
      </c>
      <c r="L21" s="15">
        <f t="shared" si="4"/>
        <v>0.13415957673598325</v>
      </c>
      <c r="M21" s="15">
        <f t="shared" si="4"/>
        <v>0.12643906687873968</v>
      </c>
      <c r="N21" s="15">
        <f t="shared" si="4"/>
        <v>0.123229396402964</v>
      </c>
      <c r="O21" s="15">
        <f t="shared" si="4"/>
        <v>0.11108422677401861</v>
      </c>
      <c r="P21" s="15">
        <f t="shared" si="4"/>
        <v>0.11736097108521192</v>
      </c>
      <c r="Q21" s="15">
        <f t="shared" si="4"/>
        <v>0.10386712940009915</v>
      </c>
      <c r="R21" s="15">
        <f t="shared" si="4"/>
        <v>8.8631387475999593E-2</v>
      </c>
      <c r="S21" s="15">
        <f t="shared" si="4"/>
        <v>8.1137710950098807E-2</v>
      </c>
      <c r="T21" s="15">
        <f t="shared" si="4"/>
        <v>7.1687257942188859E-2</v>
      </c>
      <c r="U21" s="15">
        <f t="shared" si="4"/>
        <v>5.1556202739192002E-2</v>
      </c>
    </row>
    <row r="22" spans="1:21">
      <c r="A22" s="5" t="s">
        <v>91</v>
      </c>
      <c r="B22" s="15">
        <f t="shared" ref="B22:U22" si="5">IF(OR(B7="",B6=""),"",B7/B6)</f>
        <v>0.49394324438797121</v>
      </c>
      <c r="C22" s="15">
        <f t="shared" si="5"/>
        <v>0.48905227437989818</v>
      </c>
      <c r="D22" s="15">
        <f t="shared" si="5"/>
        <v>0.4443073379401119</v>
      </c>
      <c r="E22" s="15">
        <f t="shared" si="5"/>
        <v>0.45890956483962059</v>
      </c>
      <c r="F22" s="15">
        <f t="shared" si="5"/>
        <v>0.35199854320313212</v>
      </c>
      <c r="G22" s="15">
        <f t="shared" si="5"/>
        <v>2.997914494264859E-3</v>
      </c>
      <c r="H22" s="15">
        <f t="shared" si="5"/>
        <v>-0.32330974842767296</v>
      </c>
      <c r="I22" s="15">
        <f t="shared" si="5"/>
        <v>-0.16123733917328223</v>
      </c>
      <c r="J22" s="15">
        <f t="shared" si="5"/>
        <v>7.0593425987204939E-3</v>
      </c>
      <c r="K22" s="15">
        <f t="shared" si="5"/>
        <v>0.19688660888024059</v>
      </c>
      <c r="L22" s="15">
        <f t="shared" si="5"/>
        <v>0.38576025744167336</v>
      </c>
      <c r="M22" s="15">
        <f t="shared" si="5"/>
        <v>0.45643305120867078</v>
      </c>
      <c r="N22" s="15">
        <f t="shared" si="5"/>
        <v>0.52188015705912483</v>
      </c>
      <c r="O22" s="15">
        <f t="shared" si="5"/>
        <v>0.52440936915060454</v>
      </c>
      <c r="P22" s="15">
        <f t="shared" si="5"/>
        <v>0.57270820341289186</v>
      </c>
      <c r="Q22" s="15">
        <f t="shared" si="5"/>
        <v>0.53899784094998204</v>
      </c>
      <c r="R22" s="15">
        <f t="shared" si="5"/>
        <v>0.57380669966051778</v>
      </c>
      <c r="S22" s="15">
        <f t="shared" si="5"/>
        <v>0.6877265665458312</v>
      </c>
      <c r="T22" s="15">
        <f t="shared" si="5"/>
        <v>0.79273813146682892</v>
      </c>
      <c r="U22" s="15">
        <f t="shared" si="5"/>
        <v>0.83198224889370764</v>
      </c>
    </row>
    <row r="24" spans="1:21">
      <c r="A24" s="3" t="s">
        <v>151</v>
      </c>
    </row>
    <row r="25" spans="1:21">
      <c r="A25" s="5" t="s">
        <v>152</v>
      </c>
      <c r="B25" s="7">
        <v>1188.8</v>
      </c>
      <c r="C25" s="7">
        <v>1188.8</v>
      </c>
      <c r="D25" s="7">
        <v>1267.3</v>
      </c>
      <c r="E25" s="7">
        <v>1267.3</v>
      </c>
      <c r="F25" s="7">
        <v>1267.3</v>
      </c>
      <c r="G25" s="7">
        <v>1267.3</v>
      </c>
      <c r="H25" s="7">
        <v>1288</v>
      </c>
      <c r="I25" s="7">
        <v>1288</v>
      </c>
      <c r="J25" s="7">
        <v>1288</v>
      </c>
      <c r="K25" s="7">
        <v>1288</v>
      </c>
      <c r="L25" s="7">
        <v>1470</v>
      </c>
      <c r="M25" s="7">
        <v>1470</v>
      </c>
      <c r="N25" s="7">
        <v>1470</v>
      </c>
      <c r="O25" s="7">
        <v>1470</v>
      </c>
      <c r="P25" s="7">
        <v>1439</v>
      </c>
      <c r="Q25" s="7">
        <v>1439</v>
      </c>
      <c r="R25" s="7">
        <v>1439</v>
      </c>
      <c r="S25" s="7">
        <v>1439</v>
      </c>
      <c r="T25" s="7">
        <v>1537.15</v>
      </c>
      <c r="U25" s="7">
        <v>1545</v>
      </c>
    </row>
    <row r="26" spans="1:21">
      <c r="A26" s="5" t="s">
        <v>85</v>
      </c>
      <c r="B26" s="10">
        <f t="shared" ref="B26:U26" si="6">IF(OR(B15="",B25=""),"",B15*1000/B25)</f>
        <v>5551.8169582772543</v>
      </c>
      <c r="C26" s="10">
        <f t="shared" si="6"/>
        <v>7528.6002691790045</v>
      </c>
      <c r="D26" s="10">
        <f t="shared" si="6"/>
        <v>8200.8995502248872</v>
      </c>
      <c r="E26" s="10">
        <f t="shared" si="6"/>
        <v>9373.4711591572632</v>
      </c>
      <c r="F26" s="10">
        <f t="shared" si="6"/>
        <v>11571.845656119309</v>
      </c>
      <c r="G26" s="10">
        <f t="shared" si="6"/>
        <v>12360.924800757517</v>
      </c>
      <c r="H26" s="10">
        <f t="shared" si="6"/>
        <v>13340.062111801242</v>
      </c>
      <c r="I26" s="10">
        <f t="shared" si="6"/>
        <v>12748.447204968945</v>
      </c>
      <c r="J26" s="10">
        <f t="shared" si="6"/>
        <v>11605.590062111802</v>
      </c>
      <c r="K26" s="10">
        <f t="shared" si="6"/>
        <v>10466.614906832297</v>
      </c>
      <c r="L26" s="10">
        <f t="shared" si="6"/>
        <v>9418.3673469387759</v>
      </c>
      <c r="M26" s="10">
        <f t="shared" si="6"/>
        <v>9085.0340136054419</v>
      </c>
      <c r="N26" s="10">
        <f t="shared" si="6"/>
        <v>9084.3537414965995</v>
      </c>
      <c r="O26" s="10">
        <f t="shared" si="6"/>
        <v>9057.1428571428569</v>
      </c>
      <c r="P26" s="10">
        <f t="shared" si="6"/>
        <v>10111.883252258513</v>
      </c>
      <c r="Q26" s="10">
        <f t="shared" si="6"/>
        <v>9317.5816539263378</v>
      </c>
      <c r="R26" s="10">
        <f t="shared" si="6"/>
        <v>9142.4600416956218</v>
      </c>
      <c r="S26" s="10">
        <f t="shared" si="6"/>
        <v>9929.8123697011815</v>
      </c>
      <c r="T26" s="10">
        <f t="shared" si="6"/>
        <v>10391.959145171259</v>
      </c>
      <c r="U26" s="10">
        <f t="shared" si="6"/>
        <v>11641.423948220065</v>
      </c>
    </row>
    <row r="27" spans="1:21">
      <c r="A27" s="5" t="s">
        <v>82</v>
      </c>
      <c r="B27" s="10">
        <f t="shared" ref="B27:U27" si="7">IF(OR(B8="",B25=""),"",B8*1000/B25)</f>
        <v>3509.4212651413191</v>
      </c>
      <c r="C27" s="10">
        <f t="shared" si="7"/>
        <v>3549.7981157469717</v>
      </c>
      <c r="D27" s="10">
        <f t="shared" si="7"/>
        <v>2259.9226702438255</v>
      </c>
      <c r="E27" s="10">
        <f t="shared" si="7"/>
        <v>3311.7651700465558</v>
      </c>
      <c r="F27" s="10">
        <f t="shared" si="7"/>
        <v>1310.6604592440622</v>
      </c>
      <c r="G27" s="10">
        <f t="shared" si="7"/>
        <v>-1508.7193245482522</v>
      </c>
      <c r="H27" s="10">
        <f t="shared" si="7"/>
        <v>-2641.304347826087</v>
      </c>
      <c r="I27" s="10">
        <f t="shared" si="7"/>
        <v>-2237.5776397515529</v>
      </c>
      <c r="J27" s="10">
        <f t="shared" si="7"/>
        <v>-1391.304347826087</v>
      </c>
      <c r="K27" s="10">
        <f t="shared" si="7"/>
        <v>268.63354037267078</v>
      </c>
      <c r="L27" s="10">
        <f t="shared" si="7"/>
        <v>1963.2653061224489</v>
      </c>
      <c r="M27" s="10">
        <f t="shared" si="7"/>
        <v>3720.408163265306</v>
      </c>
      <c r="N27" s="10">
        <f t="shared" si="7"/>
        <v>4782.3129251700684</v>
      </c>
      <c r="O27" s="10">
        <f t="shared" si="7"/>
        <v>5498.6394557823132</v>
      </c>
      <c r="P27" s="10">
        <f t="shared" si="7"/>
        <v>5170.9520500347462</v>
      </c>
      <c r="Q27" s="10">
        <f t="shared" si="7"/>
        <v>6402.3627519110496</v>
      </c>
      <c r="R27" s="10">
        <f t="shared" si="7"/>
        <v>7910.3544127866571</v>
      </c>
      <c r="S27" s="10">
        <f t="shared" si="7"/>
        <v>13321.751216122308</v>
      </c>
      <c r="T27" s="10">
        <f t="shared" si="7"/>
        <v>24467.358423055655</v>
      </c>
      <c r="U27" s="10">
        <f t="shared" si="7"/>
        <v>39186.407766990291</v>
      </c>
    </row>
    <row r="28" spans="1:21">
      <c r="A28" s="5" t="s">
        <v>153</v>
      </c>
      <c r="B28" s="10">
        <f t="shared" ref="B28:U28" si="8">IF(OR(B10="",B25=""),"",B10*1000/B25)</f>
        <v>59576.884253028264</v>
      </c>
      <c r="C28" s="10">
        <f t="shared" si="8"/>
        <v>75772.207267833117</v>
      </c>
      <c r="D28" s="10">
        <f t="shared" si="8"/>
        <v>64025.092716799496</v>
      </c>
      <c r="E28" s="10">
        <f t="shared" si="8"/>
        <v>49377.416554880459</v>
      </c>
      <c r="F28" s="10">
        <f t="shared" si="8"/>
        <v>45091.138641205718</v>
      </c>
      <c r="G28" s="10">
        <f t="shared" si="8"/>
        <v>40695.967805570901</v>
      </c>
      <c r="H28" s="10">
        <f t="shared" si="8"/>
        <v>47302.795031055903</v>
      </c>
      <c r="I28" s="10">
        <f t="shared" si="8"/>
        <v>61540.372670807454</v>
      </c>
      <c r="J28" s="10">
        <f t="shared" si="8"/>
        <v>61276.397515527948</v>
      </c>
      <c r="K28" s="10">
        <f t="shared" si="8"/>
        <v>75596.273291925463</v>
      </c>
      <c r="L28" s="10">
        <f t="shared" si="8"/>
        <v>85665.986394557825</v>
      </c>
      <c r="M28" s="10">
        <f t="shared" si="8"/>
        <v>110710.88435374149</v>
      </c>
      <c r="N28" s="10">
        <f t="shared" si="8"/>
        <v>81791.15646258503</v>
      </c>
      <c r="O28" s="10">
        <f t="shared" si="8"/>
        <v>81512.925170068032</v>
      </c>
      <c r="P28" s="10">
        <f t="shared" si="8"/>
        <v>91313.412091730366</v>
      </c>
      <c r="Q28" s="10">
        <f t="shared" si="8"/>
        <v>140084.08617095204</v>
      </c>
      <c r="R28" s="10">
        <f t="shared" si="8"/>
        <v>166725.50382209869</v>
      </c>
      <c r="S28" s="10">
        <f t="shared" si="8"/>
        <v>312359.97220291867</v>
      </c>
      <c r="T28" s="10">
        <f t="shared" si="8"/>
        <v>368386.29932017042</v>
      </c>
      <c r="U28" s="10">
        <f t="shared" si="8"/>
        <v>1214878.3171521036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8"/>
  <sheetViews>
    <sheetView workbookViewId="0">
      <pane xSplit="1" ySplit="4" topLeftCell="B5" activePane="bottomRight" state="frozen"/>
      <selection pane="topRight"/>
      <selection pane="bottomLeft"/>
      <selection pane="bottomRight" activeCell="I19" sqref="I19"/>
    </sheetView>
  </sheetViews>
  <sheetFormatPr defaultRowHeight="14.5"/>
  <cols>
    <col min="1" max="1" width="42" customWidth="1"/>
    <col min="2" max="21" width="9.453125" customWidth="1"/>
  </cols>
  <sheetData>
    <row r="1" spans="1:21" ht="18">
      <c r="A1" s="1" t="s">
        <v>154</v>
      </c>
    </row>
    <row r="2" spans="1:21">
      <c r="A2" s="2" t="s">
        <v>106</v>
      </c>
    </row>
    <row r="4" spans="1:21">
      <c r="A4" s="8" t="s">
        <v>70</v>
      </c>
      <c r="B4" s="9" t="s">
        <v>127</v>
      </c>
      <c r="C4" s="9" t="s">
        <v>128</v>
      </c>
      <c r="D4" s="9" t="s">
        <v>129</v>
      </c>
      <c r="E4" s="9" t="s">
        <v>130</v>
      </c>
      <c r="F4" s="9" t="s">
        <v>131</v>
      </c>
      <c r="G4" s="9" t="s">
        <v>132</v>
      </c>
      <c r="H4" s="9" t="s">
        <v>133</v>
      </c>
      <c r="I4" s="9" t="s">
        <v>134</v>
      </c>
      <c r="J4" s="9" t="s">
        <v>135</v>
      </c>
      <c r="K4" s="9" t="s">
        <v>136</v>
      </c>
      <c r="L4" s="9" t="s">
        <v>137</v>
      </c>
      <c r="M4" s="9" t="s">
        <v>138</v>
      </c>
      <c r="N4" s="9" t="s">
        <v>139</v>
      </c>
      <c r="O4" s="9" t="s">
        <v>140</v>
      </c>
      <c r="P4" s="9" t="s">
        <v>141</v>
      </c>
      <c r="Q4" s="9" t="s">
        <v>142</v>
      </c>
      <c r="R4" s="9" t="s">
        <v>143</v>
      </c>
      <c r="S4" s="9" t="s">
        <v>144</v>
      </c>
      <c r="T4" s="9" t="s">
        <v>145</v>
      </c>
      <c r="U4" s="9" t="s">
        <v>146</v>
      </c>
    </row>
    <row r="5" spans="1:21">
      <c r="A5" s="3" t="s">
        <v>147</v>
      </c>
    </row>
    <row r="6" spans="1:21">
      <c r="A6" s="5" t="s">
        <v>96</v>
      </c>
      <c r="B6" s="14">
        <v>73979</v>
      </c>
      <c r="C6" s="14">
        <v>76565</v>
      </c>
      <c r="D6" s="14">
        <v>77781</v>
      </c>
      <c r="E6" s="14">
        <v>77204</v>
      </c>
      <c r="F6" s="14">
        <v>76782</v>
      </c>
      <c r="G6" s="14">
        <v>70470</v>
      </c>
      <c r="H6" s="14">
        <v>63745</v>
      </c>
      <c r="I6" s="14">
        <v>60006</v>
      </c>
      <c r="J6" s="14">
        <v>67405</v>
      </c>
      <c r="K6" s="14">
        <v>67775</v>
      </c>
      <c r="L6" s="14">
        <v>71916</v>
      </c>
      <c r="M6" s="14">
        <v>74068</v>
      </c>
      <c r="N6" s="14">
        <v>79099</v>
      </c>
      <c r="O6" s="14">
        <v>75785</v>
      </c>
      <c r="P6" s="14">
        <v>79141</v>
      </c>
      <c r="Q6" s="14">
        <v>74566</v>
      </c>
      <c r="R6" s="14">
        <v>86062</v>
      </c>
      <c r="S6" s="14">
        <v>93806</v>
      </c>
      <c r="T6" s="14">
        <v>133873</v>
      </c>
      <c r="U6" s="14">
        <v>171500</v>
      </c>
    </row>
    <row r="7" spans="1:21">
      <c r="A7" s="5" t="s">
        <v>97</v>
      </c>
      <c r="B7" s="14">
        <v>31080</v>
      </c>
      <c r="C7" s="14">
        <v>31623</v>
      </c>
      <c r="D7" s="14">
        <v>30709</v>
      </c>
      <c r="E7" s="14">
        <v>30934</v>
      </c>
      <c r="F7" s="14">
        <v>28709</v>
      </c>
      <c r="G7" s="14">
        <v>21840</v>
      </c>
      <c r="H7" s="14">
        <v>17738</v>
      </c>
      <c r="I7" s="14">
        <v>18358</v>
      </c>
      <c r="J7" s="14">
        <v>20786</v>
      </c>
      <c r="K7" s="14">
        <v>21667</v>
      </c>
      <c r="L7" s="14">
        <v>26029</v>
      </c>
      <c r="M7" s="14">
        <v>29756</v>
      </c>
      <c r="N7" s="14">
        <v>30004</v>
      </c>
      <c r="O7" s="14">
        <v>28519</v>
      </c>
      <c r="P7" s="14">
        <v>28131</v>
      </c>
      <c r="Q7" s="14">
        <v>25497</v>
      </c>
      <c r="R7" s="14">
        <v>33492</v>
      </c>
      <c r="S7" s="14">
        <v>44270</v>
      </c>
      <c r="T7" s="14">
        <v>81913</v>
      </c>
      <c r="U7" s="14">
        <v>119300</v>
      </c>
    </row>
    <row r="8" spans="1:21">
      <c r="A8" s="5" t="s">
        <v>98</v>
      </c>
      <c r="B8" s="14">
        <v>15818</v>
      </c>
      <c r="C8" s="14">
        <v>13874</v>
      </c>
      <c r="D8" s="14">
        <v>14121</v>
      </c>
      <c r="E8" s="14">
        <v>14097</v>
      </c>
      <c r="F8" s="14">
        <v>10852</v>
      </c>
      <c r="G8" s="14">
        <v>4315</v>
      </c>
      <c r="H8" s="14">
        <v>640</v>
      </c>
      <c r="I8" s="14">
        <v>669</v>
      </c>
      <c r="J8" s="14">
        <v>2434</v>
      </c>
      <c r="K8" s="14">
        <v>2827</v>
      </c>
      <c r="L8" s="14">
        <v>6606</v>
      </c>
      <c r="M8" s="14">
        <v>10444</v>
      </c>
      <c r="N8" s="14">
        <v>9183</v>
      </c>
      <c r="O8" s="14">
        <v>6490</v>
      </c>
      <c r="P8" s="14">
        <v>6685</v>
      </c>
      <c r="Q8" s="14">
        <v>4676</v>
      </c>
      <c r="R8" s="14">
        <v>12166</v>
      </c>
      <c r="S8" s="14">
        <v>20001</v>
      </c>
      <c r="T8" s="14">
        <v>57233</v>
      </c>
      <c r="U8" s="14">
        <v>89500</v>
      </c>
    </row>
    <row r="9" spans="1:21">
      <c r="A9" s="5" t="s">
        <v>99</v>
      </c>
      <c r="B9" s="14">
        <v>12057</v>
      </c>
      <c r="C9" s="14">
        <v>10644</v>
      </c>
      <c r="D9" s="14">
        <v>11129</v>
      </c>
      <c r="E9" s="14">
        <v>10955</v>
      </c>
      <c r="F9" s="14">
        <v>9144</v>
      </c>
      <c r="G9" s="14">
        <v>23511</v>
      </c>
      <c r="H9" s="14">
        <v>1401</v>
      </c>
      <c r="I9" s="14">
        <v>1547</v>
      </c>
      <c r="J9" s="14">
        <v>5501</v>
      </c>
      <c r="K9" s="14">
        <v>6023</v>
      </c>
      <c r="L9" s="14">
        <v>6621</v>
      </c>
      <c r="M9" s="14">
        <v>9643</v>
      </c>
      <c r="N9" s="14">
        <v>9782</v>
      </c>
      <c r="O9" s="14">
        <v>7580</v>
      </c>
      <c r="P9" s="14">
        <v>8028</v>
      </c>
      <c r="Q9" s="14">
        <v>4337</v>
      </c>
      <c r="R9" s="14">
        <v>10553</v>
      </c>
      <c r="S9" s="14">
        <v>19361</v>
      </c>
      <c r="T9" s="14">
        <v>47101</v>
      </c>
      <c r="U9" s="14">
        <v>71300</v>
      </c>
    </row>
    <row r="10" spans="1:21">
      <c r="A10" s="5" t="s">
        <v>148</v>
      </c>
      <c r="B10" s="14">
        <v>499634</v>
      </c>
      <c r="C10" s="14">
        <v>526024</v>
      </c>
      <c r="D10" s="14">
        <v>467339</v>
      </c>
      <c r="E10" s="14">
        <v>383068</v>
      </c>
      <c r="F10" s="14">
        <v>355589</v>
      </c>
      <c r="G10" s="14">
        <v>371685</v>
      </c>
      <c r="H10" s="14">
        <v>426420</v>
      </c>
      <c r="I10" s="14">
        <v>479980</v>
      </c>
      <c r="J10" s="14">
        <v>453180</v>
      </c>
      <c r="K10" s="14">
        <v>519894</v>
      </c>
      <c r="L10" s="14">
        <v>547866</v>
      </c>
      <c r="M10" s="14">
        <v>538873</v>
      </c>
      <c r="N10" s="14">
        <v>409027</v>
      </c>
      <c r="O10" s="14">
        <v>353964</v>
      </c>
      <c r="P10" s="14">
        <v>377444</v>
      </c>
      <c r="Q10" s="14">
        <v>391492</v>
      </c>
      <c r="R10" s="14">
        <v>546799</v>
      </c>
      <c r="S10" s="14">
        <v>769602</v>
      </c>
      <c r="T10" s="14">
        <v>1061034</v>
      </c>
      <c r="U10" s="14">
        <v>2104819</v>
      </c>
    </row>
    <row r="11" spans="1:21">
      <c r="A11" s="4" t="s">
        <v>89</v>
      </c>
      <c r="B11" s="15">
        <f t="shared" ref="B11:U11" si="0">IF(OR(B9="",B10=""),"",B9/B10)</f>
        <v>2.4131664378324934E-2</v>
      </c>
      <c r="C11" s="15">
        <f t="shared" si="0"/>
        <v>2.0234818183200765E-2</v>
      </c>
      <c r="D11" s="15">
        <f t="shared" si="0"/>
        <v>2.3813548623162203E-2</v>
      </c>
      <c r="E11" s="15">
        <f t="shared" si="0"/>
        <v>2.8598055697682919E-2</v>
      </c>
      <c r="F11" s="15">
        <f t="shared" si="0"/>
        <v>2.571508117517696E-2</v>
      </c>
      <c r="G11" s="15">
        <f t="shared" si="0"/>
        <v>6.3255175753662379E-2</v>
      </c>
      <c r="H11" s="15">
        <f t="shared" si="0"/>
        <v>3.2854931757422259E-3</v>
      </c>
      <c r="I11" s="15">
        <f t="shared" si="0"/>
        <v>3.2230509604566858E-3</v>
      </c>
      <c r="J11" s="15">
        <f t="shared" si="0"/>
        <v>1.2138664548303103E-2</v>
      </c>
      <c r="K11" s="15">
        <f t="shared" si="0"/>
        <v>1.1585053876367105E-2</v>
      </c>
      <c r="L11" s="15">
        <f t="shared" si="0"/>
        <v>1.2085071897142733E-2</v>
      </c>
      <c r="M11" s="15">
        <f t="shared" si="0"/>
        <v>1.7894754422656173E-2</v>
      </c>
      <c r="N11" s="15">
        <f t="shared" si="0"/>
        <v>2.3915291655563081E-2</v>
      </c>
      <c r="O11" s="15">
        <f t="shared" si="0"/>
        <v>2.141460713518889E-2</v>
      </c>
      <c r="P11" s="15">
        <f t="shared" si="0"/>
        <v>2.1269380358410785E-2</v>
      </c>
      <c r="Q11" s="15">
        <f t="shared" si="0"/>
        <v>1.1078131864763519E-2</v>
      </c>
      <c r="R11" s="15">
        <f t="shared" si="0"/>
        <v>1.9299596378193815E-2</v>
      </c>
      <c r="S11" s="15">
        <f t="shared" si="0"/>
        <v>2.5157159154991802E-2</v>
      </c>
      <c r="T11" s="15">
        <f t="shared" si="0"/>
        <v>4.439160290810662E-2</v>
      </c>
      <c r="U11" s="15">
        <f t="shared" si="0"/>
        <v>3.3874646703588286E-2</v>
      </c>
    </row>
    <row r="12" spans="1:21">
      <c r="A12" s="5" t="s">
        <v>92</v>
      </c>
      <c r="B12" s="16">
        <f t="shared" ref="B12:U12" si="1">IF(OR(B9="",B10="",N(B9)&lt;=0),"",B10/B9)</f>
        <v>41.439329849879741</v>
      </c>
      <c r="C12" s="16">
        <f t="shared" si="1"/>
        <v>49.419767004885379</v>
      </c>
      <c r="D12" s="16">
        <f t="shared" si="1"/>
        <v>41.992901428699795</v>
      </c>
      <c r="E12" s="16">
        <f t="shared" si="1"/>
        <v>34.967412140575078</v>
      </c>
      <c r="F12" s="16">
        <f t="shared" si="1"/>
        <v>38.887685914260715</v>
      </c>
      <c r="G12" s="16">
        <f t="shared" si="1"/>
        <v>15.808983029220364</v>
      </c>
      <c r="H12" s="16">
        <f t="shared" si="1"/>
        <v>304.36830835117775</v>
      </c>
      <c r="I12" s="16">
        <f t="shared" si="1"/>
        <v>310.26502908855849</v>
      </c>
      <c r="J12" s="16">
        <f t="shared" si="1"/>
        <v>82.381385202690424</v>
      </c>
      <c r="K12" s="16">
        <f t="shared" si="1"/>
        <v>86.318113896729201</v>
      </c>
      <c r="L12" s="16">
        <f t="shared" si="1"/>
        <v>82.746714997734486</v>
      </c>
      <c r="M12" s="16">
        <f t="shared" si="1"/>
        <v>55.882298040029035</v>
      </c>
      <c r="N12" s="16">
        <f t="shared" si="1"/>
        <v>41.81425066448579</v>
      </c>
      <c r="O12" s="16">
        <f t="shared" si="1"/>
        <v>46.697097625329818</v>
      </c>
      <c r="P12" s="16">
        <f t="shared" si="1"/>
        <v>47.015944195316393</v>
      </c>
      <c r="Q12" s="16">
        <f t="shared" si="1"/>
        <v>90.267927138575047</v>
      </c>
      <c r="R12" s="16">
        <f t="shared" si="1"/>
        <v>51.814555102814367</v>
      </c>
      <c r="S12" s="16">
        <f t="shared" si="1"/>
        <v>39.750116213005526</v>
      </c>
      <c r="T12" s="16">
        <f t="shared" si="1"/>
        <v>22.526782870851999</v>
      </c>
      <c r="U12" s="16">
        <f t="shared" si="1"/>
        <v>29.520603085553997</v>
      </c>
    </row>
    <row r="14" spans="1:21">
      <c r="A14" s="3" t="s">
        <v>149</v>
      </c>
    </row>
    <row r="15" spans="1:21">
      <c r="A15" s="5" t="s">
        <v>100</v>
      </c>
      <c r="B15" s="14">
        <v>37802</v>
      </c>
      <c r="C15" s="14">
        <v>41384</v>
      </c>
      <c r="D15" s="14">
        <v>47591</v>
      </c>
      <c r="E15" s="14">
        <v>52092</v>
      </c>
      <c r="F15" s="14">
        <v>57320</v>
      </c>
      <c r="G15" s="14">
        <v>52188</v>
      </c>
      <c r="H15" s="14">
        <v>54420</v>
      </c>
      <c r="I15" s="14">
        <v>55505</v>
      </c>
      <c r="J15" s="14">
        <v>55256</v>
      </c>
      <c r="K15" s="14">
        <v>51626</v>
      </c>
      <c r="L15" s="14">
        <v>53348</v>
      </c>
      <c r="M15" s="14">
        <v>55567</v>
      </c>
      <c r="N15" s="14">
        <v>53357</v>
      </c>
      <c r="O15" s="14">
        <v>51755</v>
      </c>
      <c r="P15" s="14">
        <v>53220</v>
      </c>
      <c r="Q15" s="14">
        <v>51037</v>
      </c>
      <c r="R15" s="14">
        <v>50332</v>
      </c>
      <c r="S15" s="14">
        <v>52637</v>
      </c>
      <c r="T15" s="14">
        <v>58278</v>
      </c>
      <c r="U15" s="14">
        <v>71389</v>
      </c>
    </row>
    <row r="16" spans="1:21">
      <c r="A16" s="5" t="s">
        <v>101</v>
      </c>
      <c r="B16" s="14">
        <v>410421</v>
      </c>
      <c r="C16" s="14">
        <v>426621</v>
      </c>
      <c r="D16" s="14">
        <v>439327</v>
      </c>
      <c r="E16" s="14">
        <v>448041</v>
      </c>
      <c r="F16" s="14">
        <v>470278</v>
      </c>
      <c r="G16" s="14">
        <v>448425</v>
      </c>
      <c r="H16" s="14">
        <v>454092</v>
      </c>
      <c r="I16" s="14">
        <v>448001</v>
      </c>
      <c r="J16" s="14">
        <v>454466</v>
      </c>
      <c r="K16" s="14">
        <v>455906</v>
      </c>
      <c r="L16" s="14">
        <v>470900</v>
      </c>
      <c r="M16" s="14">
        <v>485758</v>
      </c>
      <c r="N16" s="14">
        <v>491307</v>
      </c>
      <c r="O16" s="14">
        <v>514532</v>
      </c>
      <c r="P16" s="14">
        <v>516377</v>
      </c>
      <c r="Q16" s="14">
        <v>504875</v>
      </c>
      <c r="R16" s="14">
        <v>523660</v>
      </c>
      <c r="S16" s="14">
        <v>566942</v>
      </c>
      <c r="T16" s="14">
        <v>633340</v>
      </c>
      <c r="U16" s="14">
        <v>759481</v>
      </c>
    </row>
    <row r="18" spans="1:21">
      <c r="A18" s="3" t="s">
        <v>150</v>
      </c>
    </row>
    <row r="19" spans="1:21">
      <c r="A19" s="4" t="s">
        <v>87</v>
      </c>
      <c r="B19" s="15">
        <f t="shared" ref="B19:U19" si="2">IF(OR(B8="",B6=""),"",B8/B6)</f>
        <v>0.21381743467740846</v>
      </c>
      <c r="C19" s="15">
        <f t="shared" si="2"/>
        <v>0.18120551165676224</v>
      </c>
      <c r="D19" s="15">
        <f t="shared" si="2"/>
        <v>0.18154819300343272</v>
      </c>
      <c r="E19" s="15">
        <f t="shared" si="2"/>
        <v>0.18259416610538315</v>
      </c>
      <c r="F19" s="15">
        <f t="shared" si="2"/>
        <v>0.14133520877288949</v>
      </c>
      <c r="G19" s="15">
        <f t="shared" si="2"/>
        <v>6.1231729814105296E-2</v>
      </c>
      <c r="H19" s="15">
        <f t="shared" si="2"/>
        <v>1.004000313750098E-2</v>
      </c>
      <c r="I19" s="15">
        <f t="shared" si="2"/>
        <v>1.1148885111488852E-2</v>
      </c>
      <c r="J19" s="15">
        <f t="shared" si="2"/>
        <v>3.6110080854536014E-2</v>
      </c>
      <c r="K19" s="15">
        <f t="shared" si="2"/>
        <v>4.1711545555145703E-2</v>
      </c>
      <c r="L19" s="15">
        <f t="shared" si="2"/>
        <v>9.1857166694476897E-2</v>
      </c>
      <c r="M19" s="15">
        <f t="shared" si="2"/>
        <v>0.14100556245612139</v>
      </c>
      <c r="N19" s="15">
        <f t="shared" si="2"/>
        <v>0.11609502016460385</v>
      </c>
      <c r="O19" s="15">
        <f t="shared" si="2"/>
        <v>8.5636999406214956E-2</v>
      </c>
      <c r="P19" s="15">
        <f t="shared" si="2"/>
        <v>8.4469491161344945E-2</v>
      </c>
      <c r="Q19" s="15">
        <f t="shared" si="2"/>
        <v>6.2709545905640637E-2</v>
      </c>
      <c r="R19" s="15">
        <f t="shared" si="2"/>
        <v>0.14136320327205967</v>
      </c>
      <c r="S19" s="15">
        <f t="shared" si="2"/>
        <v>0.2132166385945462</v>
      </c>
      <c r="T19" s="15">
        <f t="shared" si="2"/>
        <v>0.42751712443883383</v>
      </c>
      <c r="U19" s="15">
        <f t="shared" si="2"/>
        <v>0.52186588921282795</v>
      </c>
    </row>
    <row r="20" spans="1:21">
      <c r="A20" s="4" t="s">
        <v>88</v>
      </c>
      <c r="B20" s="15">
        <f t="shared" ref="B20:U20" si="3">IF(OR(B9="",B6=""),"",B9/B6)</f>
        <v>0.16297868313980995</v>
      </c>
      <c r="C20" s="15">
        <f t="shared" si="3"/>
        <v>0.13901913406909161</v>
      </c>
      <c r="D20" s="15">
        <f t="shared" si="3"/>
        <v>0.14308121520679856</v>
      </c>
      <c r="E20" s="15">
        <f t="shared" si="3"/>
        <v>0.14189679291228433</v>
      </c>
      <c r="F20" s="15">
        <f t="shared" si="3"/>
        <v>0.11909041181526921</v>
      </c>
      <c r="G20" s="15">
        <f t="shared" si="3"/>
        <v>0.33363133248190718</v>
      </c>
      <c r="H20" s="15">
        <f t="shared" si="3"/>
        <v>2.1978194368185738E-2</v>
      </c>
      <c r="I20" s="15">
        <f t="shared" si="3"/>
        <v>2.5780755257807552E-2</v>
      </c>
      <c r="J20" s="15">
        <f t="shared" si="3"/>
        <v>8.1611156442400412E-2</v>
      </c>
      <c r="K20" s="15">
        <f t="shared" si="3"/>
        <v>8.8867576540022128E-2</v>
      </c>
      <c r="L20" s="15">
        <f t="shared" si="3"/>
        <v>9.206574336726181E-2</v>
      </c>
      <c r="M20" s="15">
        <f t="shared" si="3"/>
        <v>0.13019117567640545</v>
      </c>
      <c r="N20" s="15">
        <f t="shared" si="3"/>
        <v>0.12366780869543231</v>
      </c>
      <c r="O20" s="15">
        <f t="shared" si="3"/>
        <v>0.10001979283499374</v>
      </c>
      <c r="P20" s="15">
        <f t="shared" si="3"/>
        <v>0.10143920344701229</v>
      </c>
      <c r="Q20" s="15">
        <f t="shared" si="3"/>
        <v>5.8163237936861303E-2</v>
      </c>
      <c r="R20" s="15">
        <f t="shared" si="3"/>
        <v>0.12262090121075504</v>
      </c>
      <c r="S20" s="15">
        <f t="shared" si="3"/>
        <v>0.20639404728908597</v>
      </c>
      <c r="T20" s="15">
        <f t="shared" si="3"/>
        <v>0.3518334540945523</v>
      </c>
      <c r="U20" s="15">
        <f t="shared" si="3"/>
        <v>0.41574344023323617</v>
      </c>
    </row>
    <row r="21" spans="1:21">
      <c r="A21" s="4" t="s">
        <v>90</v>
      </c>
      <c r="B21" s="15">
        <f t="shared" ref="B21:U21" si="4">IF(OR(B15="",B16=""),"",B15/B16)</f>
        <v>9.2105423455427479E-2</v>
      </c>
      <c r="C21" s="15">
        <f t="shared" si="4"/>
        <v>9.7004132473553814E-2</v>
      </c>
      <c r="D21" s="15">
        <f t="shared" si="4"/>
        <v>0.10832705479062293</v>
      </c>
      <c r="E21" s="15">
        <f t="shared" si="4"/>
        <v>0.11626614528581089</v>
      </c>
      <c r="F21" s="15">
        <f t="shared" si="4"/>
        <v>0.1218853529189118</v>
      </c>
      <c r="G21" s="15">
        <f t="shared" si="4"/>
        <v>0.11638066566315437</v>
      </c>
      <c r="H21" s="15">
        <f t="shared" si="4"/>
        <v>0.11984355593139716</v>
      </c>
      <c r="I21" s="15">
        <f t="shared" si="4"/>
        <v>0.123894812734793</v>
      </c>
      <c r="J21" s="15">
        <f t="shared" si="4"/>
        <v>0.12158445296237783</v>
      </c>
      <c r="K21" s="15">
        <f t="shared" si="4"/>
        <v>0.11323825525437262</v>
      </c>
      <c r="L21" s="15">
        <f t="shared" si="4"/>
        <v>0.11328944574219579</v>
      </c>
      <c r="M21" s="15">
        <f t="shared" si="4"/>
        <v>0.11439235174716629</v>
      </c>
      <c r="N21" s="15">
        <f t="shared" si="4"/>
        <v>0.10860215710339971</v>
      </c>
      <c r="O21" s="15">
        <f t="shared" si="4"/>
        <v>0.10058655243988712</v>
      </c>
      <c r="P21" s="15">
        <f t="shared" si="4"/>
        <v>0.10306423407704061</v>
      </c>
      <c r="Q21" s="15">
        <f t="shared" si="4"/>
        <v>0.10108838821490468</v>
      </c>
      <c r="R21" s="15">
        <f t="shared" si="4"/>
        <v>9.6115800328457401E-2</v>
      </c>
      <c r="S21" s="15">
        <f t="shared" si="4"/>
        <v>9.284371240797118E-2</v>
      </c>
      <c r="T21" s="15">
        <f t="shared" si="4"/>
        <v>9.2016926137619609E-2</v>
      </c>
      <c r="U21" s="15">
        <f t="shared" si="4"/>
        <v>9.3997084851365598E-2</v>
      </c>
    </row>
    <row r="22" spans="1:21">
      <c r="A22" s="5" t="s">
        <v>91</v>
      </c>
      <c r="B22" s="15">
        <f t="shared" ref="B22:U22" si="5">IF(OR(B7="",B6=""),"",B7/B6)</f>
        <v>0.42011922302274968</v>
      </c>
      <c r="C22" s="15">
        <f t="shared" si="5"/>
        <v>0.41302161562071443</v>
      </c>
      <c r="D22" s="15">
        <f t="shared" si="5"/>
        <v>0.39481364343477199</v>
      </c>
      <c r="E22" s="15">
        <f t="shared" si="5"/>
        <v>0.40067872130977672</v>
      </c>
      <c r="F22" s="15">
        <f t="shared" si="5"/>
        <v>0.37390273762079657</v>
      </c>
      <c r="G22" s="15">
        <f t="shared" si="5"/>
        <v>0.30991911451681564</v>
      </c>
      <c r="H22" s="15">
        <f t="shared" si="5"/>
        <v>0.27826496195780059</v>
      </c>
      <c r="I22" s="15">
        <f t="shared" si="5"/>
        <v>0.30593607305936071</v>
      </c>
      <c r="J22" s="15">
        <f t="shared" si="5"/>
        <v>0.30837474964765227</v>
      </c>
      <c r="K22" s="15">
        <f t="shared" si="5"/>
        <v>0.31969015123570638</v>
      </c>
      <c r="L22" s="15">
        <f t="shared" si="5"/>
        <v>0.36193614772790478</v>
      </c>
      <c r="M22" s="15">
        <f t="shared" si="5"/>
        <v>0.40173894259329263</v>
      </c>
      <c r="N22" s="15">
        <f t="shared" si="5"/>
        <v>0.3793221153238347</v>
      </c>
      <c r="O22" s="15">
        <f t="shared" si="5"/>
        <v>0.37631457412416708</v>
      </c>
      <c r="P22" s="15">
        <f t="shared" si="5"/>
        <v>0.35545418935823403</v>
      </c>
      <c r="Q22" s="15">
        <f t="shared" si="5"/>
        <v>0.34193868519164228</v>
      </c>
      <c r="R22" s="15">
        <f t="shared" si="5"/>
        <v>0.3891613023169343</v>
      </c>
      <c r="S22" s="15">
        <f t="shared" si="5"/>
        <v>0.4719314329573801</v>
      </c>
      <c r="T22" s="15">
        <f t="shared" si="5"/>
        <v>0.61187095232048283</v>
      </c>
      <c r="U22" s="15">
        <f t="shared" si="5"/>
        <v>0.69562682215743443</v>
      </c>
    </row>
    <row r="24" spans="1:21">
      <c r="A24" s="3" t="s">
        <v>151</v>
      </c>
    </row>
    <row r="25" spans="1:21">
      <c r="A25" s="5" t="s">
        <v>152</v>
      </c>
      <c r="B25" s="7">
        <v>1188.8</v>
      </c>
      <c r="C25" s="7">
        <v>1188.8</v>
      </c>
      <c r="D25" s="7">
        <v>1267.3</v>
      </c>
      <c r="E25" s="7">
        <v>1267.3</v>
      </c>
      <c r="F25" s="7">
        <v>1267.3</v>
      </c>
      <c r="G25" s="7">
        <v>1267.3</v>
      </c>
      <c r="H25" s="7">
        <v>1288</v>
      </c>
      <c r="I25" s="7">
        <v>1288</v>
      </c>
      <c r="J25" s="7">
        <v>1288</v>
      </c>
      <c r="K25" s="7">
        <v>1288</v>
      </c>
      <c r="L25" s="7">
        <v>1470</v>
      </c>
      <c r="M25" s="7">
        <v>1470</v>
      </c>
      <c r="N25" s="7">
        <v>1470</v>
      </c>
      <c r="O25" s="7">
        <v>1470</v>
      </c>
      <c r="P25" s="7">
        <v>1439</v>
      </c>
      <c r="Q25" s="7">
        <v>1439</v>
      </c>
      <c r="R25" s="7">
        <v>1439</v>
      </c>
      <c r="S25" s="7">
        <v>1439</v>
      </c>
      <c r="T25" s="7">
        <v>1537.15</v>
      </c>
      <c r="U25" s="7">
        <v>1545</v>
      </c>
    </row>
    <row r="26" spans="1:21">
      <c r="A26" s="5" t="s">
        <v>85</v>
      </c>
      <c r="B26" s="10">
        <f t="shared" ref="B26:U26" si="6">IF(OR(B15="",B25=""),"",B15*1000/B25)</f>
        <v>31798.452220726784</v>
      </c>
      <c r="C26" s="10">
        <f t="shared" si="6"/>
        <v>34811.574697173623</v>
      </c>
      <c r="D26" s="10">
        <f t="shared" si="6"/>
        <v>37553.065572476924</v>
      </c>
      <c r="E26" s="10">
        <f t="shared" si="6"/>
        <v>41104.710802493493</v>
      </c>
      <c r="F26" s="10">
        <f t="shared" si="6"/>
        <v>45230.016570662039</v>
      </c>
      <c r="G26" s="10">
        <f t="shared" si="6"/>
        <v>41180.462400378761</v>
      </c>
      <c r="H26" s="10">
        <f t="shared" si="6"/>
        <v>42251.552795031057</v>
      </c>
      <c r="I26" s="10">
        <f t="shared" si="6"/>
        <v>43093.944099378881</v>
      </c>
      <c r="J26" s="10">
        <f t="shared" si="6"/>
        <v>42900.621118012423</v>
      </c>
      <c r="K26" s="10">
        <f t="shared" si="6"/>
        <v>40082.298136645964</v>
      </c>
      <c r="L26" s="10">
        <f t="shared" si="6"/>
        <v>36291.156462585037</v>
      </c>
      <c r="M26" s="10">
        <f t="shared" si="6"/>
        <v>37800.680272108846</v>
      </c>
      <c r="N26" s="10">
        <f t="shared" si="6"/>
        <v>36297.278911564623</v>
      </c>
      <c r="O26" s="10">
        <f t="shared" si="6"/>
        <v>35207.482993197278</v>
      </c>
      <c r="P26" s="10">
        <f t="shared" si="6"/>
        <v>36984.016678248787</v>
      </c>
      <c r="Q26" s="10">
        <f t="shared" si="6"/>
        <v>35466.990965948578</v>
      </c>
      <c r="R26" s="10">
        <f t="shared" si="6"/>
        <v>34977.067407922172</v>
      </c>
      <c r="S26" s="10">
        <f t="shared" si="6"/>
        <v>36578.874218207086</v>
      </c>
      <c r="T26" s="10">
        <f t="shared" si="6"/>
        <v>37913.020850274857</v>
      </c>
      <c r="U26" s="10">
        <f t="shared" si="6"/>
        <v>46206.472491909386</v>
      </c>
    </row>
    <row r="27" spans="1:21">
      <c r="A27" s="5" t="s">
        <v>82</v>
      </c>
      <c r="B27" s="10">
        <f t="shared" ref="B27:U27" si="7">IF(OR(B8="",B25=""),"",B8*1000/B25)</f>
        <v>13305.85464333782</v>
      </c>
      <c r="C27" s="10">
        <f t="shared" si="7"/>
        <v>11670.592193808883</v>
      </c>
      <c r="D27" s="10">
        <f t="shared" si="7"/>
        <v>11142.586601436124</v>
      </c>
      <c r="E27" s="10">
        <f t="shared" si="7"/>
        <v>11123.648701964807</v>
      </c>
      <c r="F27" s="10">
        <f t="shared" si="7"/>
        <v>8563.086877613825</v>
      </c>
      <c r="G27" s="10">
        <f t="shared" si="7"/>
        <v>3404.8765091138644</v>
      </c>
      <c r="H27" s="10">
        <f t="shared" si="7"/>
        <v>496.89440993788821</v>
      </c>
      <c r="I27" s="10">
        <f t="shared" si="7"/>
        <v>519.40993788819878</v>
      </c>
      <c r="J27" s="10">
        <f t="shared" si="7"/>
        <v>1889.7515527950311</v>
      </c>
      <c r="K27" s="10">
        <f t="shared" si="7"/>
        <v>2194.8757763975154</v>
      </c>
      <c r="L27" s="10">
        <f t="shared" si="7"/>
        <v>4493.8775510204077</v>
      </c>
      <c r="M27" s="10">
        <f t="shared" si="7"/>
        <v>7104.7619047619046</v>
      </c>
      <c r="N27" s="10">
        <f t="shared" si="7"/>
        <v>6246.9387755102043</v>
      </c>
      <c r="O27" s="10">
        <f t="shared" si="7"/>
        <v>4414.9659863945581</v>
      </c>
      <c r="P27" s="10">
        <f t="shared" si="7"/>
        <v>4645.5872133425992</v>
      </c>
      <c r="Q27" s="10">
        <f t="shared" si="7"/>
        <v>3249.4788047255038</v>
      </c>
      <c r="R27" s="10">
        <f t="shared" si="7"/>
        <v>8454.4822793606672</v>
      </c>
      <c r="S27" s="10">
        <f t="shared" si="7"/>
        <v>13899.235580264072</v>
      </c>
      <c r="T27" s="10">
        <f t="shared" si="7"/>
        <v>37233.191295579476</v>
      </c>
      <c r="U27" s="10">
        <f t="shared" si="7"/>
        <v>57928.802588996761</v>
      </c>
    </row>
    <row r="28" spans="1:21">
      <c r="A28" s="5" t="s">
        <v>153</v>
      </c>
      <c r="B28" s="10">
        <f t="shared" ref="B28:U28" si="8">IF(OR(B10="",B25=""),"",B10*1000/B25)</f>
        <v>420284.32032301481</v>
      </c>
      <c r="C28" s="10">
        <f t="shared" si="8"/>
        <v>442483.17631224764</v>
      </c>
      <c r="D28" s="10">
        <f t="shared" si="8"/>
        <v>368767.45837607514</v>
      </c>
      <c r="E28" s="10">
        <f t="shared" si="8"/>
        <v>302270.96977826877</v>
      </c>
      <c r="F28" s="10">
        <f t="shared" si="8"/>
        <v>280587.86396275548</v>
      </c>
      <c r="G28" s="10">
        <f t="shared" si="8"/>
        <v>293288.88187485206</v>
      </c>
      <c r="H28" s="10">
        <f t="shared" si="8"/>
        <v>331071.42857142858</v>
      </c>
      <c r="I28" s="10">
        <f t="shared" si="8"/>
        <v>372655.27950310562</v>
      </c>
      <c r="J28" s="10">
        <f t="shared" si="8"/>
        <v>351847.82608695654</v>
      </c>
      <c r="K28" s="10">
        <f t="shared" si="8"/>
        <v>403644.40993788821</v>
      </c>
      <c r="L28" s="10">
        <f t="shared" si="8"/>
        <v>372697.95918367349</v>
      </c>
      <c r="M28" s="10">
        <f t="shared" si="8"/>
        <v>366580.27210884355</v>
      </c>
      <c r="N28" s="10">
        <f t="shared" si="8"/>
        <v>278249.65986394556</v>
      </c>
      <c r="O28" s="10">
        <f t="shared" si="8"/>
        <v>240791.83673469388</v>
      </c>
      <c r="P28" s="10">
        <f t="shared" si="8"/>
        <v>262296.03891591384</v>
      </c>
      <c r="Q28" s="10">
        <f t="shared" si="8"/>
        <v>272058.37387074356</v>
      </c>
      <c r="R28" s="10">
        <f t="shared" si="8"/>
        <v>379985.40653231408</v>
      </c>
      <c r="S28" s="10">
        <f t="shared" si="8"/>
        <v>534817.23419041</v>
      </c>
      <c r="T28" s="10">
        <f t="shared" si="8"/>
        <v>690260.54711641674</v>
      </c>
      <c r="U28" s="10">
        <f t="shared" si="8"/>
        <v>1362342.3948220066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28"/>
  <sheetViews>
    <sheetView workbookViewId="0">
      <pane xSplit="1" ySplit="4" topLeftCell="B5" activePane="bottomRight" state="frozen"/>
      <selection pane="topRight"/>
      <selection pane="bottomLeft"/>
      <selection pane="bottomRight" activeCell="A26" sqref="A26"/>
    </sheetView>
  </sheetViews>
  <sheetFormatPr defaultRowHeight="14.5"/>
  <cols>
    <col min="1" max="1" width="42" customWidth="1"/>
    <col min="2" max="41" width="9.453125" customWidth="1"/>
  </cols>
  <sheetData>
    <row r="1" spans="1:41" ht="18">
      <c r="A1" s="1" t="s">
        <v>155</v>
      </c>
    </row>
    <row r="2" spans="1:41">
      <c r="A2" s="2" t="s">
        <v>156</v>
      </c>
    </row>
    <row r="4" spans="1:41">
      <c r="A4" s="8" t="s">
        <v>70</v>
      </c>
      <c r="B4" s="9" t="s">
        <v>107</v>
      </c>
      <c r="C4" s="9" t="s">
        <v>108</v>
      </c>
      <c r="D4" s="9" t="s">
        <v>109</v>
      </c>
      <c r="E4" s="9" t="s">
        <v>110</v>
      </c>
      <c r="F4" s="9" t="s">
        <v>111</v>
      </c>
      <c r="G4" s="9" t="s">
        <v>112</v>
      </c>
      <c r="H4" s="9" t="s">
        <v>113</v>
      </c>
      <c r="I4" s="9" t="s">
        <v>114</v>
      </c>
      <c r="J4" s="9" t="s">
        <v>115</v>
      </c>
      <c r="K4" s="9" t="s">
        <v>116</v>
      </c>
      <c r="L4" s="9" t="s">
        <v>117</v>
      </c>
      <c r="M4" s="9" t="s">
        <v>118</v>
      </c>
      <c r="N4" s="9" t="s">
        <v>119</v>
      </c>
      <c r="O4" s="9" t="s">
        <v>120</v>
      </c>
      <c r="P4" s="9" t="s">
        <v>121</v>
      </c>
      <c r="Q4" s="9" t="s">
        <v>122</v>
      </c>
      <c r="R4" s="9" t="s">
        <v>123</v>
      </c>
      <c r="S4" s="9" t="s">
        <v>124</v>
      </c>
      <c r="T4" s="9" t="s">
        <v>125</v>
      </c>
      <c r="U4" s="9" t="s">
        <v>126</v>
      </c>
      <c r="V4" s="9" t="s">
        <v>127</v>
      </c>
      <c r="W4" s="9" t="s">
        <v>128</v>
      </c>
      <c r="X4" s="9" t="s">
        <v>129</v>
      </c>
      <c r="Y4" s="9" t="s">
        <v>130</v>
      </c>
      <c r="Z4" s="9" t="s">
        <v>131</v>
      </c>
      <c r="AA4" s="9" t="s">
        <v>132</v>
      </c>
      <c r="AB4" s="9" t="s">
        <v>133</v>
      </c>
      <c r="AC4" s="9" t="s">
        <v>134</v>
      </c>
      <c r="AD4" s="9" t="s">
        <v>135</v>
      </c>
      <c r="AE4" s="9" t="s">
        <v>136</v>
      </c>
      <c r="AF4" s="9" t="s">
        <v>137</v>
      </c>
      <c r="AG4" s="9" t="s">
        <v>138</v>
      </c>
      <c r="AH4" s="9" t="s">
        <v>139</v>
      </c>
      <c r="AI4" s="9" t="s">
        <v>140</v>
      </c>
      <c r="AJ4" s="9" t="s">
        <v>141</v>
      </c>
      <c r="AK4" s="9" t="s">
        <v>142</v>
      </c>
      <c r="AL4" s="9" t="s">
        <v>143</v>
      </c>
      <c r="AM4" s="9" t="s">
        <v>144</v>
      </c>
      <c r="AN4" s="9" t="s">
        <v>145</v>
      </c>
      <c r="AO4" s="9" t="s">
        <v>146</v>
      </c>
    </row>
    <row r="5" spans="1:41">
      <c r="A5" s="3" t="s">
        <v>147</v>
      </c>
    </row>
    <row r="6" spans="1:41">
      <c r="A6" s="5" t="s">
        <v>96</v>
      </c>
      <c r="B6" s="14">
        <v>3217</v>
      </c>
      <c r="C6" s="14">
        <v>3970</v>
      </c>
      <c r="D6" s="14">
        <v>4648</v>
      </c>
      <c r="E6" s="14">
        <v>5566</v>
      </c>
      <c r="F6" s="14">
        <v>6138</v>
      </c>
      <c r="G6" s="14">
        <v>6803</v>
      </c>
      <c r="H6" s="14">
        <v>7351</v>
      </c>
      <c r="I6" s="14">
        <v>7797</v>
      </c>
      <c r="J6" s="14">
        <v>8440</v>
      </c>
      <c r="K6" s="14">
        <v>7913</v>
      </c>
      <c r="L6" s="14">
        <v>5835</v>
      </c>
      <c r="M6" s="14">
        <v>4788</v>
      </c>
      <c r="N6" s="14">
        <v>4870</v>
      </c>
      <c r="O6" s="14">
        <v>5144</v>
      </c>
      <c r="P6" s="14">
        <v>4797</v>
      </c>
      <c r="Q6" s="14">
        <v>5438</v>
      </c>
      <c r="R6" s="14">
        <v>6056</v>
      </c>
      <c r="S6" s="14">
        <v>5773</v>
      </c>
      <c r="T6" s="14">
        <v>6236</v>
      </c>
      <c r="U6" s="14">
        <v>7422</v>
      </c>
      <c r="V6" s="14">
        <v>8274</v>
      </c>
      <c r="W6" s="14">
        <v>7687</v>
      </c>
      <c r="X6" s="14">
        <v>7786</v>
      </c>
      <c r="Y6" s="14">
        <v>8642</v>
      </c>
      <c r="Z6" s="14">
        <v>6643</v>
      </c>
      <c r="AA6" s="14">
        <v>4085</v>
      </c>
      <c r="AB6" s="14">
        <v>3693</v>
      </c>
      <c r="AC6" s="14">
        <v>3752</v>
      </c>
      <c r="AD6" s="14">
        <v>4010</v>
      </c>
      <c r="AE6" s="14">
        <v>4726</v>
      </c>
      <c r="AF6" s="14">
        <v>5824</v>
      </c>
      <c r="AG6" s="14">
        <v>6811</v>
      </c>
      <c r="AH6" s="14">
        <v>7750</v>
      </c>
      <c r="AI6" s="14">
        <v>8709</v>
      </c>
      <c r="AJ6" s="14">
        <v>8053</v>
      </c>
      <c r="AK6" s="14">
        <v>9301</v>
      </c>
      <c r="AL6" s="14">
        <v>11315</v>
      </c>
      <c r="AM6" s="14">
        <v>13643</v>
      </c>
      <c r="AN6" s="14">
        <v>23860</v>
      </c>
      <c r="AO6" s="14">
        <v>41456</v>
      </c>
    </row>
    <row r="7" spans="1:41">
      <c r="A7" s="5" t="s">
        <v>97</v>
      </c>
      <c r="B7" s="14">
        <v>579</v>
      </c>
      <c r="C7" s="14">
        <v>1011</v>
      </c>
      <c r="D7" s="14">
        <v>1704</v>
      </c>
      <c r="E7" s="14">
        <v>2609</v>
      </c>
      <c r="F7" s="14">
        <v>3112</v>
      </c>
      <c r="G7" s="14">
        <v>3747</v>
      </c>
      <c r="H7" s="14">
        <v>4270</v>
      </c>
      <c r="I7" s="14">
        <v>4723</v>
      </c>
      <c r="J7" s="14">
        <v>5151</v>
      </c>
      <c r="K7" s="14">
        <v>4615</v>
      </c>
      <c r="L7" s="14">
        <v>2864</v>
      </c>
      <c r="M7" s="14">
        <v>1828</v>
      </c>
      <c r="N7" s="14">
        <v>1395</v>
      </c>
      <c r="O7" s="14">
        <v>1366</v>
      </c>
      <c r="P7" s="14">
        <v>1355</v>
      </c>
      <c r="Q7" s="14">
        <v>1763</v>
      </c>
      <c r="R7" s="14">
        <v>2068</v>
      </c>
      <c r="S7" s="14">
        <v>1736</v>
      </c>
      <c r="T7" s="14">
        <v>1649</v>
      </c>
      <c r="U7" s="14">
        <v>3126</v>
      </c>
      <c r="V7" s="14">
        <v>3912</v>
      </c>
      <c r="W7" s="14">
        <v>3565</v>
      </c>
      <c r="X7" s="14">
        <v>3676</v>
      </c>
      <c r="Y7" s="14">
        <v>4035</v>
      </c>
      <c r="Z7" s="14">
        <v>2622</v>
      </c>
      <c r="AA7" s="14">
        <v>893</v>
      </c>
      <c r="AB7" s="14">
        <v>-1206</v>
      </c>
      <c r="AC7" s="14">
        <v>-668</v>
      </c>
      <c r="AD7" s="14">
        <v>-435</v>
      </c>
      <c r="AE7" s="14">
        <v>-35</v>
      </c>
      <c r="AF7" s="14">
        <v>1079</v>
      </c>
      <c r="AG7" s="14">
        <v>1832</v>
      </c>
      <c r="AH7" s="14">
        <v>2737</v>
      </c>
      <c r="AI7" s="14">
        <v>3348</v>
      </c>
      <c r="AJ7" s="14">
        <v>2963</v>
      </c>
      <c r="AK7" s="14">
        <v>3508</v>
      </c>
      <c r="AL7" s="14">
        <v>5054</v>
      </c>
      <c r="AM7" s="14">
        <v>7646</v>
      </c>
      <c r="AN7" s="14">
        <v>17755</v>
      </c>
      <c r="AO7" s="14">
        <v>35056</v>
      </c>
    </row>
    <row r="8" spans="1:41">
      <c r="A8" s="5" t="s">
        <v>98</v>
      </c>
      <c r="B8" s="14">
        <v>-32</v>
      </c>
      <c r="C8" s="14">
        <v>359</v>
      </c>
      <c r="D8" s="14">
        <v>1044</v>
      </c>
      <c r="E8" s="14">
        <v>1963</v>
      </c>
      <c r="F8" s="14">
        <v>2502</v>
      </c>
      <c r="G8" s="14">
        <v>3097</v>
      </c>
      <c r="H8" s="14">
        <v>3567</v>
      </c>
      <c r="I8" s="14">
        <v>3953</v>
      </c>
      <c r="J8" s="14">
        <v>4377</v>
      </c>
      <c r="K8" s="14">
        <v>3759</v>
      </c>
      <c r="L8" s="14">
        <v>1957</v>
      </c>
      <c r="M8" s="14">
        <v>1010</v>
      </c>
      <c r="N8" s="14">
        <v>650</v>
      </c>
      <c r="O8" s="14">
        <v>518</v>
      </c>
      <c r="P8" s="14">
        <v>440</v>
      </c>
      <c r="Q8" s="14">
        <v>888</v>
      </c>
      <c r="R8" s="14">
        <v>1157</v>
      </c>
      <c r="S8" s="14">
        <v>866</v>
      </c>
      <c r="T8" s="14">
        <v>663</v>
      </c>
      <c r="U8" s="14">
        <v>1799</v>
      </c>
      <c r="V8" s="14">
        <v>2955</v>
      </c>
      <c r="W8" s="14">
        <v>2631</v>
      </c>
      <c r="X8" s="14">
        <v>2546</v>
      </c>
      <c r="Y8" s="14">
        <v>3004</v>
      </c>
      <c r="Z8" s="14">
        <v>1521</v>
      </c>
      <c r="AA8" s="14">
        <v>-209</v>
      </c>
      <c r="AB8" s="14">
        <v>-2303</v>
      </c>
      <c r="AC8" s="14">
        <v>-1761</v>
      </c>
      <c r="AD8" s="14">
        <v>-1472</v>
      </c>
      <c r="AE8" s="14">
        <v>-1128</v>
      </c>
      <c r="AF8" s="14">
        <v>191</v>
      </c>
      <c r="AG8" s="14">
        <v>719</v>
      </c>
      <c r="AH8" s="14">
        <v>1522</v>
      </c>
      <c r="AI8" s="14">
        <v>2174</v>
      </c>
      <c r="AJ8" s="14">
        <v>1773</v>
      </c>
      <c r="AK8" s="14">
        <v>2169</v>
      </c>
      <c r="AL8" s="14">
        <v>3654</v>
      </c>
      <c r="AM8" s="14">
        <v>6136</v>
      </c>
      <c r="AN8" s="14">
        <v>16135</v>
      </c>
      <c r="AO8" s="14">
        <v>33318</v>
      </c>
    </row>
    <row r="9" spans="1:41">
      <c r="A9" s="5" t="s">
        <v>99</v>
      </c>
      <c r="B9" s="14">
        <v>-170</v>
      </c>
      <c r="C9" s="14">
        <v>180</v>
      </c>
      <c r="D9" s="14">
        <v>894</v>
      </c>
      <c r="E9" s="14">
        <v>1647</v>
      </c>
      <c r="F9" s="14">
        <v>2368</v>
      </c>
      <c r="G9" s="14">
        <v>2678</v>
      </c>
      <c r="H9" s="14">
        <v>3309</v>
      </c>
      <c r="I9" s="14">
        <v>3823</v>
      </c>
      <c r="J9" s="14">
        <v>4325</v>
      </c>
      <c r="K9" s="14">
        <v>3293</v>
      </c>
      <c r="L9" s="14">
        <v>1619</v>
      </c>
      <c r="M9" s="14">
        <v>840</v>
      </c>
      <c r="N9" s="14">
        <v>561</v>
      </c>
      <c r="O9" s="14">
        <v>491</v>
      </c>
      <c r="P9" s="14">
        <v>405</v>
      </c>
      <c r="Q9" s="14">
        <v>803</v>
      </c>
      <c r="R9" s="14">
        <v>988</v>
      </c>
      <c r="S9" s="14">
        <v>803</v>
      </c>
      <c r="T9" s="14">
        <v>603</v>
      </c>
      <c r="U9" s="14">
        <v>1735</v>
      </c>
      <c r="V9" s="14">
        <v>2720</v>
      </c>
      <c r="W9" s="14">
        <v>2306</v>
      </c>
      <c r="X9" s="14">
        <v>2263</v>
      </c>
      <c r="Y9" s="14">
        <v>2626</v>
      </c>
      <c r="Z9" s="14">
        <v>1492</v>
      </c>
      <c r="AA9" s="14">
        <v>-195</v>
      </c>
      <c r="AB9" s="14">
        <v>-2312</v>
      </c>
      <c r="AC9" s="14">
        <v>-1896</v>
      </c>
      <c r="AD9" s="14">
        <v>-1430</v>
      </c>
      <c r="AE9" s="14">
        <v>-1234</v>
      </c>
      <c r="AF9" s="14">
        <v>793</v>
      </c>
      <c r="AG9" s="14">
        <v>332</v>
      </c>
      <c r="AH9" s="14">
        <v>887</v>
      </c>
      <c r="AI9" s="14">
        <v>1870</v>
      </c>
      <c r="AJ9" s="14">
        <v>1583</v>
      </c>
      <c r="AK9" s="14">
        <v>1885</v>
      </c>
      <c r="AL9" s="14">
        <v>3201</v>
      </c>
      <c r="AM9" s="14">
        <v>5240</v>
      </c>
      <c r="AN9" s="14">
        <v>13785</v>
      </c>
      <c r="AO9" s="14">
        <v>28243</v>
      </c>
    </row>
    <row r="10" spans="1:41">
      <c r="A10" s="5" t="s">
        <v>148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>
        <v>92826</v>
      </c>
      <c r="X10" s="14">
        <v>99703</v>
      </c>
      <c r="Y10" s="14">
        <v>83284</v>
      </c>
      <c r="Z10" s="14">
        <v>62697</v>
      </c>
      <c r="AA10" s="14">
        <v>60540</v>
      </c>
      <c r="AB10" s="14">
        <v>61734</v>
      </c>
      <c r="AC10" s="14">
        <v>75654</v>
      </c>
      <c r="AD10" s="14">
        <v>76794</v>
      </c>
      <c r="AE10" s="14">
        <v>84036</v>
      </c>
      <c r="AF10" s="14">
        <v>100305</v>
      </c>
      <c r="AG10" s="14">
        <v>140056</v>
      </c>
      <c r="AH10" s="14">
        <v>105987</v>
      </c>
      <c r="AI10" s="14">
        <v>109395</v>
      </c>
      <c r="AJ10" s="14">
        <v>102655</v>
      </c>
      <c r="AK10" s="14">
        <v>108319</v>
      </c>
      <c r="AL10" s="14">
        <v>136884</v>
      </c>
      <c r="AM10" s="14">
        <v>259273</v>
      </c>
      <c r="AN10" s="14">
        <v>468752</v>
      </c>
      <c r="AO10" s="14">
        <v>1042654</v>
      </c>
    </row>
    <row r="11" spans="1:41">
      <c r="A11" s="4" t="s">
        <v>89</v>
      </c>
      <c r="B11" s="15" t="str">
        <f t="shared" ref="B11:AO11" si="0">IF(OR(B9="",B10=""),"",B9/B10)</f>
        <v/>
      </c>
      <c r="C11" s="15" t="str">
        <f t="shared" si="0"/>
        <v/>
      </c>
      <c r="D11" s="15" t="str">
        <f t="shared" si="0"/>
        <v/>
      </c>
      <c r="E11" s="15" t="str">
        <f t="shared" si="0"/>
        <v/>
      </c>
      <c r="F11" s="15" t="str">
        <f t="shared" si="0"/>
        <v/>
      </c>
      <c r="G11" s="15" t="str">
        <f t="shared" si="0"/>
        <v/>
      </c>
      <c r="H11" s="15" t="str">
        <f t="shared" si="0"/>
        <v/>
      </c>
      <c r="I11" s="15" t="str">
        <f t="shared" si="0"/>
        <v/>
      </c>
      <c r="J11" s="15" t="str">
        <f t="shared" si="0"/>
        <v/>
      </c>
      <c r="K11" s="15" t="str">
        <f t="shared" si="0"/>
        <v/>
      </c>
      <c r="L11" s="15" t="str">
        <f t="shared" si="0"/>
        <v/>
      </c>
      <c r="M11" s="15" t="str">
        <f t="shared" si="0"/>
        <v/>
      </c>
      <c r="N11" s="15" t="str">
        <f t="shared" si="0"/>
        <v/>
      </c>
      <c r="O11" s="15" t="str">
        <f t="shared" si="0"/>
        <v/>
      </c>
      <c r="P11" s="15" t="str">
        <f t="shared" si="0"/>
        <v/>
      </c>
      <c r="Q11" s="15" t="str">
        <f t="shared" si="0"/>
        <v/>
      </c>
      <c r="R11" s="15" t="str">
        <f t="shared" si="0"/>
        <v/>
      </c>
      <c r="S11" s="15" t="str">
        <f t="shared" si="0"/>
        <v/>
      </c>
      <c r="T11" s="15" t="str">
        <f t="shared" si="0"/>
        <v/>
      </c>
      <c r="U11" s="15" t="str">
        <f t="shared" si="0"/>
        <v/>
      </c>
      <c r="V11" s="15" t="str">
        <f t="shared" si="0"/>
        <v/>
      </c>
      <c r="W11" s="15">
        <f t="shared" si="0"/>
        <v>2.4842177838105703E-2</v>
      </c>
      <c r="X11" s="15">
        <f t="shared" si="0"/>
        <v>2.2697411311595438E-2</v>
      </c>
      <c r="Y11" s="15">
        <f t="shared" si="0"/>
        <v>3.1530666154363382E-2</v>
      </c>
      <c r="Z11" s="15">
        <f t="shared" si="0"/>
        <v>2.3796991881589232E-2</v>
      </c>
      <c r="AA11" s="15">
        <f t="shared" si="0"/>
        <v>-3.2210109018830525E-3</v>
      </c>
      <c r="AB11" s="15">
        <f t="shared" si="0"/>
        <v>-3.7450999449250011E-2</v>
      </c>
      <c r="AC11" s="15">
        <f t="shared" si="0"/>
        <v>-2.5061464033626774E-2</v>
      </c>
      <c r="AD11" s="15">
        <f t="shared" si="0"/>
        <v>-1.8621246451545694E-2</v>
      </c>
      <c r="AE11" s="15">
        <f t="shared" si="0"/>
        <v>-1.4684182969203674E-2</v>
      </c>
      <c r="AF11" s="15">
        <f t="shared" si="0"/>
        <v>7.9058870445142312E-3</v>
      </c>
      <c r="AG11" s="15">
        <f t="shared" si="0"/>
        <v>2.3704803792768607E-3</v>
      </c>
      <c r="AH11" s="15">
        <f t="shared" si="0"/>
        <v>8.3689509090737538E-3</v>
      </c>
      <c r="AI11" s="15">
        <f t="shared" si="0"/>
        <v>1.7094017094017096E-2</v>
      </c>
      <c r="AJ11" s="15">
        <f t="shared" si="0"/>
        <v>1.5420583507866154E-2</v>
      </c>
      <c r="AK11" s="15">
        <f t="shared" si="0"/>
        <v>1.7402302458479121E-2</v>
      </c>
      <c r="AL11" s="15">
        <f t="shared" si="0"/>
        <v>2.33847637415622E-2</v>
      </c>
      <c r="AM11" s="15">
        <f t="shared" si="0"/>
        <v>2.021035742248518E-2</v>
      </c>
      <c r="AN11" s="15">
        <f t="shared" si="0"/>
        <v>2.940787452640202E-2</v>
      </c>
      <c r="AO11" s="15">
        <f t="shared" si="0"/>
        <v>2.7087605284207415E-2</v>
      </c>
    </row>
    <row r="12" spans="1:41">
      <c r="A12" s="5" t="s">
        <v>92</v>
      </c>
      <c r="B12" s="16" t="str">
        <f t="shared" ref="B12:AO12" si="1">IF(OR(B9="",B10="",N(B9)&lt;=0),"",B10/B9)</f>
        <v/>
      </c>
      <c r="C12" s="16" t="str">
        <f t="shared" si="1"/>
        <v/>
      </c>
      <c r="D12" s="16" t="str">
        <f t="shared" si="1"/>
        <v/>
      </c>
      <c r="E12" s="16" t="str">
        <f t="shared" si="1"/>
        <v/>
      </c>
      <c r="F12" s="16" t="str">
        <f t="shared" si="1"/>
        <v/>
      </c>
      <c r="G12" s="16" t="str">
        <f t="shared" si="1"/>
        <v/>
      </c>
      <c r="H12" s="16" t="str">
        <f t="shared" si="1"/>
        <v/>
      </c>
      <c r="I12" s="16" t="str">
        <f t="shared" si="1"/>
        <v/>
      </c>
      <c r="J12" s="16" t="str">
        <f t="shared" si="1"/>
        <v/>
      </c>
      <c r="K12" s="16" t="str">
        <f t="shared" si="1"/>
        <v/>
      </c>
      <c r="L12" s="16" t="str">
        <f t="shared" si="1"/>
        <v/>
      </c>
      <c r="M12" s="16" t="str">
        <f t="shared" si="1"/>
        <v/>
      </c>
      <c r="N12" s="16" t="str">
        <f t="shared" si="1"/>
        <v/>
      </c>
      <c r="O12" s="16" t="str">
        <f t="shared" si="1"/>
        <v/>
      </c>
      <c r="P12" s="16" t="str">
        <f t="shared" si="1"/>
        <v/>
      </c>
      <c r="Q12" s="16" t="str">
        <f t="shared" si="1"/>
        <v/>
      </c>
      <c r="R12" s="16" t="str">
        <f t="shared" si="1"/>
        <v/>
      </c>
      <c r="S12" s="16" t="str">
        <f t="shared" si="1"/>
        <v/>
      </c>
      <c r="T12" s="16" t="str">
        <f t="shared" si="1"/>
        <v/>
      </c>
      <c r="U12" s="16" t="str">
        <f t="shared" si="1"/>
        <v/>
      </c>
      <c r="V12" s="16" t="str">
        <f t="shared" si="1"/>
        <v/>
      </c>
      <c r="W12" s="16">
        <f t="shared" si="1"/>
        <v>40.254119687771031</v>
      </c>
      <c r="X12" s="16">
        <f t="shared" si="1"/>
        <v>44.057887759611134</v>
      </c>
      <c r="Y12" s="16">
        <f t="shared" si="1"/>
        <v>31.715156130997716</v>
      </c>
      <c r="Z12" s="16">
        <f t="shared" si="1"/>
        <v>42.022117962466488</v>
      </c>
      <c r="AA12" s="16" t="str">
        <f t="shared" si="1"/>
        <v/>
      </c>
      <c r="AB12" s="16" t="str">
        <f t="shared" si="1"/>
        <v/>
      </c>
      <c r="AC12" s="16" t="str">
        <f t="shared" si="1"/>
        <v/>
      </c>
      <c r="AD12" s="16" t="str">
        <f t="shared" si="1"/>
        <v/>
      </c>
      <c r="AE12" s="16" t="str">
        <f t="shared" si="1"/>
        <v/>
      </c>
      <c r="AF12" s="16">
        <f t="shared" si="1"/>
        <v>126.48802017654477</v>
      </c>
      <c r="AG12" s="16">
        <f t="shared" si="1"/>
        <v>421.85542168674698</v>
      </c>
      <c r="AH12" s="16">
        <f t="shared" si="1"/>
        <v>119.48928974069898</v>
      </c>
      <c r="AI12" s="16">
        <f t="shared" si="1"/>
        <v>58.5</v>
      </c>
      <c r="AJ12" s="16">
        <f t="shared" si="1"/>
        <v>64.848389134554637</v>
      </c>
      <c r="AK12" s="16">
        <f t="shared" si="1"/>
        <v>57.46366047745358</v>
      </c>
      <c r="AL12" s="16">
        <f t="shared" si="1"/>
        <v>42.762886597938142</v>
      </c>
      <c r="AM12" s="16">
        <f t="shared" si="1"/>
        <v>49.479580152671758</v>
      </c>
      <c r="AN12" s="16">
        <f t="shared" si="1"/>
        <v>34.004497642364889</v>
      </c>
      <c r="AO12" s="16">
        <f t="shared" si="1"/>
        <v>36.917253832808129</v>
      </c>
    </row>
    <row r="14" spans="1:41">
      <c r="A14" s="3" t="s">
        <v>149</v>
      </c>
    </row>
    <row r="15" spans="1:41">
      <c r="A15" s="5" t="s">
        <v>100</v>
      </c>
      <c r="B15" s="14">
        <v>2889</v>
      </c>
      <c r="C15" s="14">
        <v>2750</v>
      </c>
      <c r="D15" s="14">
        <v>3000</v>
      </c>
      <c r="E15" s="14">
        <v>3064</v>
      </c>
      <c r="F15" s="14">
        <v>3123</v>
      </c>
      <c r="G15" s="14">
        <v>3160</v>
      </c>
      <c r="H15" s="14">
        <v>3184</v>
      </c>
      <c r="I15" s="14">
        <v>3369</v>
      </c>
      <c r="J15" s="14">
        <v>3595</v>
      </c>
      <c r="K15" s="14">
        <v>3876</v>
      </c>
      <c r="L15" s="14">
        <v>4390</v>
      </c>
      <c r="M15" s="14">
        <v>4905</v>
      </c>
      <c r="N15" s="14">
        <v>5118</v>
      </c>
      <c r="O15" s="14">
        <v>4943</v>
      </c>
      <c r="P15" s="14">
        <v>5208</v>
      </c>
      <c r="Q15" s="14">
        <v>5405</v>
      </c>
      <c r="R15" s="14">
        <v>5607</v>
      </c>
      <c r="S15" s="14">
        <v>5521</v>
      </c>
      <c r="T15" s="14">
        <v>4743</v>
      </c>
      <c r="U15" s="14">
        <v>4537</v>
      </c>
      <c r="V15" s="14">
        <v>4487</v>
      </c>
      <c r="W15" s="14">
        <v>4827</v>
      </c>
      <c r="X15" s="14">
        <v>5383</v>
      </c>
      <c r="Y15" s="14">
        <v>5629</v>
      </c>
      <c r="Z15" s="14">
        <v>6663</v>
      </c>
      <c r="AA15" s="14">
        <v>8359</v>
      </c>
      <c r="AB15" s="14">
        <v>8129</v>
      </c>
      <c r="AC15" s="14">
        <v>8238</v>
      </c>
      <c r="AD15" s="14">
        <v>8387</v>
      </c>
      <c r="AE15" s="14">
        <v>8276</v>
      </c>
      <c r="AF15" s="14">
        <v>8443</v>
      </c>
      <c r="AG15" s="14">
        <v>8512</v>
      </c>
      <c r="AH15" s="14">
        <v>8875</v>
      </c>
      <c r="AI15" s="14">
        <v>8705</v>
      </c>
      <c r="AJ15" s="14">
        <v>9007</v>
      </c>
      <c r="AK15" s="14">
        <v>8727</v>
      </c>
      <c r="AL15" s="14">
        <v>8355</v>
      </c>
      <c r="AM15" s="14">
        <v>8205</v>
      </c>
      <c r="AN15" s="14">
        <v>8267</v>
      </c>
      <c r="AO15" s="14">
        <v>8567</v>
      </c>
    </row>
    <row r="16" spans="1:41">
      <c r="A16" s="5" t="s">
        <v>101</v>
      </c>
      <c r="B16" s="14">
        <v>27540</v>
      </c>
      <c r="C16" s="14">
        <v>27836</v>
      </c>
      <c r="D16" s="14">
        <v>32355</v>
      </c>
      <c r="E16" s="14">
        <v>33267</v>
      </c>
      <c r="F16" s="14">
        <v>35336</v>
      </c>
      <c r="G16" s="14">
        <v>37191</v>
      </c>
      <c r="H16" s="14">
        <v>41263</v>
      </c>
      <c r="I16" s="14">
        <v>41845</v>
      </c>
      <c r="J16" s="14">
        <v>43376</v>
      </c>
      <c r="K16" s="14">
        <v>44595</v>
      </c>
      <c r="L16" s="14">
        <v>47487</v>
      </c>
      <c r="M16" s="14">
        <v>46288</v>
      </c>
      <c r="N16" s="14">
        <v>48887</v>
      </c>
      <c r="O16" s="14">
        <v>49649</v>
      </c>
      <c r="P16" s="14">
        <v>49648</v>
      </c>
      <c r="Q16" s="14">
        <v>52005</v>
      </c>
      <c r="R16" s="14">
        <v>53678</v>
      </c>
      <c r="S16" s="14">
        <v>53691</v>
      </c>
      <c r="T16" s="14">
        <v>54135</v>
      </c>
      <c r="U16" s="14">
        <v>55943</v>
      </c>
      <c r="V16" s="14">
        <v>58849</v>
      </c>
      <c r="W16" s="14">
        <v>61246</v>
      </c>
      <c r="X16" s="14">
        <v>63696</v>
      </c>
      <c r="Y16" s="14">
        <v>65296</v>
      </c>
      <c r="Z16" s="14">
        <v>66283</v>
      </c>
      <c r="AA16" s="14">
        <v>67874</v>
      </c>
      <c r="AB16" s="14">
        <v>66520</v>
      </c>
      <c r="AC16" s="14">
        <v>65680</v>
      </c>
      <c r="AD16" s="14">
        <v>64254</v>
      </c>
      <c r="AE16" s="14">
        <v>63776</v>
      </c>
      <c r="AF16" s="14">
        <v>65718</v>
      </c>
      <c r="AG16" s="14">
        <v>66255</v>
      </c>
      <c r="AH16" s="14">
        <v>69416</v>
      </c>
      <c r="AI16" s="14">
        <v>71461</v>
      </c>
      <c r="AJ16" s="14">
        <v>73053</v>
      </c>
      <c r="AK16" s="14">
        <v>78397</v>
      </c>
      <c r="AL16" s="14">
        <v>82798</v>
      </c>
      <c r="AM16" s="14">
        <v>85971</v>
      </c>
      <c r="AN16" s="14">
        <v>101509</v>
      </c>
      <c r="AO16" s="14">
        <v>134112</v>
      </c>
    </row>
    <row r="18" spans="1:41">
      <c r="A18" s="3" t="s">
        <v>150</v>
      </c>
    </row>
    <row r="19" spans="1:41">
      <c r="A19" s="4" t="s">
        <v>87</v>
      </c>
      <c r="B19" s="15">
        <f t="shared" ref="B19:AO19" si="2">IF(OR(B8="",B6=""),"",B8/B6)</f>
        <v>-9.9471557351569779E-3</v>
      </c>
      <c r="C19" s="15">
        <f t="shared" si="2"/>
        <v>9.0428211586901758E-2</v>
      </c>
      <c r="D19" s="15">
        <f t="shared" si="2"/>
        <v>0.22461273666092943</v>
      </c>
      <c r="E19" s="15">
        <f t="shared" si="2"/>
        <v>0.35267696730147324</v>
      </c>
      <c r="F19" s="15">
        <f t="shared" si="2"/>
        <v>0.40762463343108507</v>
      </c>
      <c r="G19" s="15">
        <f t="shared" si="2"/>
        <v>0.455240335146259</v>
      </c>
      <c r="H19" s="15">
        <f t="shared" si="2"/>
        <v>0.48524010338729423</v>
      </c>
      <c r="I19" s="15">
        <f t="shared" si="2"/>
        <v>0.50698986789790945</v>
      </c>
      <c r="J19" s="15">
        <f t="shared" si="2"/>
        <v>0.51860189573459714</v>
      </c>
      <c r="K19" s="15">
        <f t="shared" si="2"/>
        <v>0.47504107165423987</v>
      </c>
      <c r="L19" s="15">
        <f t="shared" si="2"/>
        <v>0.33538988860325619</v>
      </c>
      <c r="M19" s="15">
        <f t="shared" si="2"/>
        <v>0.21094402673350041</v>
      </c>
      <c r="N19" s="15">
        <f t="shared" si="2"/>
        <v>0.13347022587268995</v>
      </c>
      <c r="O19" s="15">
        <f t="shared" si="2"/>
        <v>0.10069984447900467</v>
      </c>
      <c r="P19" s="15">
        <f t="shared" si="2"/>
        <v>9.172399416301856E-2</v>
      </c>
      <c r="Q19" s="15">
        <f t="shared" si="2"/>
        <v>0.16329532916513423</v>
      </c>
      <c r="R19" s="15">
        <f t="shared" si="2"/>
        <v>0.19105019815059446</v>
      </c>
      <c r="S19" s="15">
        <f t="shared" si="2"/>
        <v>0.15000866100814134</v>
      </c>
      <c r="T19" s="15">
        <f t="shared" si="2"/>
        <v>0.1063181526619628</v>
      </c>
      <c r="U19" s="15">
        <f t="shared" si="2"/>
        <v>0.24238749663163567</v>
      </c>
      <c r="V19" s="15">
        <f t="shared" si="2"/>
        <v>0.35714285714285715</v>
      </c>
      <c r="W19" s="15">
        <f t="shared" si="2"/>
        <v>0.34226616365292051</v>
      </c>
      <c r="X19" s="15">
        <f t="shared" si="2"/>
        <v>0.32699717441561776</v>
      </c>
      <c r="Y19" s="15">
        <f t="shared" si="2"/>
        <v>0.34760472112936819</v>
      </c>
      <c r="Z19" s="15">
        <f t="shared" si="2"/>
        <v>0.22896281800391388</v>
      </c>
      <c r="AA19" s="15">
        <f t="shared" si="2"/>
        <v>-5.1162790697674418E-2</v>
      </c>
      <c r="AB19" s="15">
        <f t="shared" si="2"/>
        <v>-0.62361223937178445</v>
      </c>
      <c r="AC19" s="15">
        <f t="shared" si="2"/>
        <v>-0.46934968017057571</v>
      </c>
      <c r="AD19" s="15">
        <f t="shared" si="2"/>
        <v>-0.36708229426433914</v>
      </c>
      <c r="AE19" s="15">
        <f t="shared" si="2"/>
        <v>-0.23867964451967838</v>
      </c>
      <c r="AF19" s="15">
        <f t="shared" si="2"/>
        <v>3.2795329670329672E-2</v>
      </c>
      <c r="AG19" s="15">
        <f t="shared" si="2"/>
        <v>0.10556452796946117</v>
      </c>
      <c r="AH19" s="15">
        <f t="shared" si="2"/>
        <v>0.19638709677419355</v>
      </c>
      <c r="AI19" s="15">
        <f t="shared" si="2"/>
        <v>0.24962682282696061</v>
      </c>
      <c r="AJ19" s="15">
        <f t="shared" si="2"/>
        <v>0.22016639761579535</v>
      </c>
      <c r="AK19" s="15">
        <f t="shared" si="2"/>
        <v>0.23320073110418235</v>
      </c>
      <c r="AL19" s="15">
        <f t="shared" si="2"/>
        <v>0.32293415819708354</v>
      </c>
      <c r="AM19" s="15">
        <f t="shared" si="2"/>
        <v>0.44975445283295462</v>
      </c>
      <c r="AN19" s="15">
        <f t="shared" si="2"/>
        <v>0.67623637887678123</v>
      </c>
      <c r="AO19" s="15">
        <f t="shared" si="2"/>
        <v>0.80369548436896954</v>
      </c>
    </row>
    <row r="20" spans="1:41">
      <c r="A20" s="4" t="s">
        <v>88</v>
      </c>
      <c r="B20" s="15">
        <f t="shared" ref="B20:AO20" si="3">IF(OR(B9="",B6=""),"",B9/B6)</f>
        <v>-5.2844264843021446E-2</v>
      </c>
      <c r="C20" s="15">
        <f t="shared" si="3"/>
        <v>4.534005037783375E-2</v>
      </c>
      <c r="D20" s="15">
        <f t="shared" si="3"/>
        <v>0.19234079173838209</v>
      </c>
      <c r="E20" s="15">
        <f t="shared" si="3"/>
        <v>0.29590370104204095</v>
      </c>
      <c r="F20" s="15">
        <f t="shared" si="3"/>
        <v>0.3857934180514826</v>
      </c>
      <c r="G20" s="15">
        <f t="shared" si="3"/>
        <v>0.39364986035572541</v>
      </c>
      <c r="H20" s="15">
        <f t="shared" si="3"/>
        <v>0.4501428377091552</v>
      </c>
      <c r="I20" s="15">
        <f t="shared" si="3"/>
        <v>0.49031678850840066</v>
      </c>
      <c r="J20" s="15">
        <f t="shared" si="3"/>
        <v>0.51244075829383884</v>
      </c>
      <c r="K20" s="15">
        <f t="shared" si="3"/>
        <v>0.41615063819031972</v>
      </c>
      <c r="L20" s="15">
        <f t="shared" si="3"/>
        <v>0.2774635818337618</v>
      </c>
      <c r="M20" s="15">
        <f t="shared" si="3"/>
        <v>0.17543859649122806</v>
      </c>
      <c r="N20" s="15">
        <f t="shared" si="3"/>
        <v>0.11519507186858316</v>
      </c>
      <c r="O20" s="15">
        <f t="shared" si="3"/>
        <v>9.5451010886469678E-2</v>
      </c>
      <c r="P20" s="15">
        <f t="shared" si="3"/>
        <v>8.4427767354596617E-2</v>
      </c>
      <c r="Q20" s="15">
        <f t="shared" si="3"/>
        <v>0.14766458256712026</v>
      </c>
      <c r="R20" s="15">
        <f t="shared" si="3"/>
        <v>0.16314398943196828</v>
      </c>
      <c r="S20" s="15">
        <f t="shared" si="3"/>
        <v>0.1390957907500433</v>
      </c>
      <c r="T20" s="15">
        <f t="shared" si="3"/>
        <v>9.6696600384862094E-2</v>
      </c>
      <c r="U20" s="15">
        <f t="shared" si="3"/>
        <v>0.23376448396658583</v>
      </c>
      <c r="V20" s="15">
        <f t="shared" si="3"/>
        <v>0.3287406333091612</v>
      </c>
      <c r="W20" s="15">
        <f t="shared" si="3"/>
        <v>0.29998699102380644</v>
      </c>
      <c r="X20" s="15">
        <f t="shared" si="3"/>
        <v>0.29064988440791162</v>
      </c>
      <c r="Y20" s="15">
        <f t="shared" si="3"/>
        <v>0.30386484610043973</v>
      </c>
      <c r="Z20" s="15">
        <f t="shared" si="3"/>
        <v>0.22459732048773146</v>
      </c>
      <c r="AA20" s="15">
        <f t="shared" si="3"/>
        <v>-4.7735618115055077E-2</v>
      </c>
      <c r="AB20" s="15">
        <f t="shared" si="3"/>
        <v>-0.62604928242621172</v>
      </c>
      <c r="AC20" s="15">
        <f t="shared" si="3"/>
        <v>-0.50533049040511724</v>
      </c>
      <c r="AD20" s="15">
        <f t="shared" si="3"/>
        <v>-0.35660847880299251</v>
      </c>
      <c r="AE20" s="15">
        <f t="shared" si="3"/>
        <v>-0.26110876005078293</v>
      </c>
      <c r="AF20" s="15">
        <f t="shared" si="3"/>
        <v>0.13616071428571427</v>
      </c>
      <c r="AG20" s="15">
        <f t="shared" si="3"/>
        <v>4.874467772720599E-2</v>
      </c>
      <c r="AH20" s="15">
        <f t="shared" si="3"/>
        <v>0.11445161290322581</v>
      </c>
      <c r="AI20" s="15">
        <f t="shared" si="3"/>
        <v>0.21472040417958435</v>
      </c>
      <c r="AJ20" s="15">
        <f t="shared" si="3"/>
        <v>0.19657270582391656</v>
      </c>
      <c r="AK20" s="15">
        <f t="shared" si="3"/>
        <v>0.20266637995914419</v>
      </c>
      <c r="AL20" s="15">
        <f t="shared" si="3"/>
        <v>0.28289880689350422</v>
      </c>
      <c r="AM20" s="15">
        <f t="shared" si="3"/>
        <v>0.38407974785604337</v>
      </c>
      <c r="AN20" s="15">
        <f t="shared" si="3"/>
        <v>0.57774518021793797</v>
      </c>
      <c r="AO20" s="15">
        <f t="shared" si="3"/>
        <v>0.6812765341566962</v>
      </c>
    </row>
    <row r="21" spans="1:41">
      <c r="A21" s="4" t="s">
        <v>90</v>
      </c>
      <c r="B21" s="15">
        <f t="shared" ref="B21:AO21" si="4">IF(OR(B15="",B16=""),"",B15/B16)</f>
        <v>0.10490196078431373</v>
      </c>
      <c r="C21" s="15">
        <f t="shared" si="4"/>
        <v>9.879293001868085E-2</v>
      </c>
      <c r="D21" s="15">
        <f t="shared" si="4"/>
        <v>9.2721372276309694E-2</v>
      </c>
      <c r="E21" s="15">
        <f t="shared" si="4"/>
        <v>9.2103285538221058E-2</v>
      </c>
      <c r="F21" s="15">
        <f t="shared" si="4"/>
        <v>8.8380122254924157E-2</v>
      </c>
      <c r="G21" s="15">
        <f t="shared" si="4"/>
        <v>8.4966793041327204E-2</v>
      </c>
      <c r="H21" s="15">
        <f t="shared" si="4"/>
        <v>7.7163560574849133E-2</v>
      </c>
      <c r="I21" s="15">
        <f t="shared" si="4"/>
        <v>8.0511411160234192E-2</v>
      </c>
      <c r="J21" s="15">
        <f t="shared" si="4"/>
        <v>8.287993360383622E-2</v>
      </c>
      <c r="K21" s="15">
        <f t="shared" si="4"/>
        <v>8.6915573494786416E-2</v>
      </c>
      <c r="L21" s="15">
        <f t="shared" si="4"/>
        <v>9.2446353738918019E-2</v>
      </c>
      <c r="M21" s="15">
        <f t="shared" si="4"/>
        <v>0.10596698928447978</v>
      </c>
      <c r="N21" s="15">
        <f t="shared" si="4"/>
        <v>0.10469040849305541</v>
      </c>
      <c r="O21" s="15">
        <f t="shared" si="4"/>
        <v>9.955890350258817E-2</v>
      </c>
      <c r="P21" s="15">
        <f t="shared" si="4"/>
        <v>0.10489848533677086</v>
      </c>
      <c r="Q21" s="15">
        <f t="shared" si="4"/>
        <v>0.10393231420055764</v>
      </c>
      <c r="R21" s="15">
        <f t="shared" si="4"/>
        <v>0.10445620179589403</v>
      </c>
      <c r="S21" s="15">
        <f t="shared" si="4"/>
        <v>0.102829151999404</v>
      </c>
      <c r="T21" s="15">
        <f t="shared" si="4"/>
        <v>8.761429758935993E-2</v>
      </c>
      <c r="U21" s="15">
        <f t="shared" si="4"/>
        <v>8.1100405770158909E-2</v>
      </c>
      <c r="V21" s="15">
        <f t="shared" si="4"/>
        <v>7.6245985488283569E-2</v>
      </c>
      <c r="W21" s="15">
        <f t="shared" si="4"/>
        <v>7.881331025699638E-2</v>
      </c>
      <c r="X21" s="15">
        <f t="shared" si="4"/>
        <v>8.4510801306204475E-2</v>
      </c>
      <c r="Y21" s="15">
        <f t="shared" si="4"/>
        <v>8.6207424650820874E-2</v>
      </c>
      <c r="Z21" s="15">
        <f t="shared" si="4"/>
        <v>0.10052351281625756</v>
      </c>
      <c r="AA21" s="15">
        <f t="shared" si="4"/>
        <v>0.12315466894539882</v>
      </c>
      <c r="AB21" s="15">
        <f t="shared" si="4"/>
        <v>0.12220384846662657</v>
      </c>
      <c r="AC21" s="15">
        <f t="shared" si="4"/>
        <v>0.12542630937880633</v>
      </c>
      <c r="AD21" s="15">
        <f t="shared" si="4"/>
        <v>0.1305288386715224</v>
      </c>
      <c r="AE21" s="15">
        <f t="shared" si="4"/>
        <v>0.12976668339187156</v>
      </c>
      <c r="AF21" s="15">
        <f t="shared" si="4"/>
        <v>0.12847317325542471</v>
      </c>
      <c r="AG21" s="15">
        <f t="shared" si="4"/>
        <v>0.12847332276809298</v>
      </c>
      <c r="AH21" s="15">
        <f t="shared" si="4"/>
        <v>0.12785236833006799</v>
      </c>
      <c r="AI21" s="15">
        <f t="shared" si="4"/>
        <v>0.12181469612795791</v>
      </c>
      <c r="AJ21" s="15">
        <f t="shared" si="4"/>
        <v>0.12329404678794847</v>
      </c>
      <c r="AK21" s="15">
        <f t="shared" si="4"/>
        <v>0.11131803512889524</v>
      </c>
      <c r="AL21" s="15">
        <f t="shared" si="4"/>
        <v>0.10090823449841783</v>
      </c>
      <c r="AM21" s="15">
        <f t="shared" si="4"/>
        <v>9.5439159716648639E-2</v>
      </c>
      <c r="AN21" s="15">
        <f t="shared" si="4"/>
        <v>8.1441054487779413E-2</v>
      </c>
      <c r="AO21" s="15">
        <f t="shared" si="4"/>
        <v>6.3879444046766876E-2</v>
      </c>
    </row>
    <row r="22" spans="1:41">
      <c r="A22" s="5" t="s">
        <v>91</v>
      </c>
      <c r="B22" s="15">
        <f t="shared" ref="B22:AO22" si="5">IF(OR(B7="",B6=""),"",B7/B6)</f>
        <v>0.17998134908299659</v>
      </c>
      <c r="C22" s="15">
        <f t="shared" si="5"/>
        <v>0.25465994962216626</v>
      </c>
      <c r="D22" s="15">
        <f t="shared" si="5"/>
        <v>0.36660929432013767</v>
      </c>
      <c r="E22" s="15">
        <f t="shared" si="5"/>
        <v>0.46873877111031259</v>
      </c>
      <c r="F22" s="15">
        <f t="shared" si="5"/>
        <v>0.50700553926360381</v>
      </c>
      <c r="G22" s="15">
        <f t="shared" si="5"/>
        <v>0.55078641775687198</v>
      </c>
      <c r="H22" s="15">
        <f t="shared" si="5"/>
        <v>0.58087335056454903</v>
      </c>
      <c r="I22" s="15">
        <f t="shared" si="5"/>
        <v>0.60574579966653841</v>
      </c>
      <c r="J22" s="15">
        <f t="shared" si="5"/>
        <v>0.61030805687203793</v>
      </c>
      <c r="K22" s="15">
        <f t="shared" si="5"/>
        <v>0.58321749020599012</v>
      </c>
      <c r="L22" s="15">
        <f t="shared" si="5"/>
        <v>0.49083119108826051</v>
      </c>
      <c r="M22" s="15">
        <f t="shared" si="5"/>
        <v>0.3817878028404344</v>
      </c>
      <c r="N22" s="15">
        <f t="shared" si="5"/>
        <v>0.2864476386036961</v>
      </c>
      <c r="O22" s="15">
        <f t="shared" si="5"/>
        <v>0.265552099533437</v>
      </c>
      <c r="P22" s="15">
        <f t="shared" si="5"/>
        <v>0.28246820929747757</v>
      </c>
      <c r="Q22" s="15">
        <f t="shared" si="5"/>
        <v>0.32420007355645458</v>
      </c>
      <c r="R22" s="15">
        <f t="shared" si="5"/>
        <v>0.34147952443857332</v>
      </c>
      <c r="S22" s="15">
        <f t="shared" si="5"/>
        <v>0.30071020266759052</v>
      </c>
      <c r="T22" s="15">
        <f t="shared" si="5"/>
        <v>0.26443232841565106</v>
      </c>
      <c r="U22" s="15">
        <f t="shared" si="5"/>
        <v>0.42118027485852871</v>
      </c>
      <c r="V22" s="15">
        <f t="shared" si="5"/>
        <v>0.47280638143582304</v>
      </c>
      <c r="W22" s="15">
        <f t="shared" si="5"/>
        <v>0.46377000130089763</v>
      </c>
      <c r="X22" s="15">
        <f t="shared" si="5"/>
        <v>0.47212946313896736</v>
      </c>
      <c r="Y22" s="15">
        <f t="shared" si="5"/>
        <v>0.46690580884054617</v>
      </c>
      <c r="Z22" s="15">
        <f t="shared" si="5"/>
        <v>0.39470118922173719</v>
      </c>
      <c r="AA22" s="15">
        <f t="shared" si="5"/>
        <v>0.21860465116279071</v>
      </c>
      <c r="AB22" s="15">
        <f t="shared" si="5"/>
        <v>-0.32656376929325753</v>
      </c>
      <c r="AC22" s="15">
        <f t="shared" si="5"/>
        <v>-0.17803837953091683</v>
      </c>
      <c r="AD22" s="15">
        <f t="shared" si="5"/>
        <v>-0.10847880299251871</v>
      </c>
      <c r="AE22" s="15">
        <f t="shared" si="5"/>
        <v>-7.4058400338552688E-3</v>
      </c>
      <c r="AF22" s="15">
        <f t="shared" si="5"/>
        <v>0.18526785714285715</v>
      </c>
      <c r="AG22" s="15">
        <f t="shared" si="5"/>
        <v>0.26897665541036558</v>
      </c>
      <c r="AH22" s="15">
        <f t="shared" si="5"/>
        <v>0.35316129032258065</v>
      </c>
      <c r="AI22" s="15">
        <f t="shared" si="5"/>
        <v>0.38442990010334138</v>
      </c>
      <c r="AJ22" s="15">
        <f t="shared" si="5"/>
        <v>0.36793741462808893</v>
      </c>
      <c r="AK22" s="15">
        <f t="shared" si="5"/>
        <v>0.37716374583378132</v>
      </c>
      <c r="AL22" s="15">
        <f t="shared" si="5"/>
        <v>0.44666372072470173</v>
      </c>
      <c r="AM22" s="15">
        <f t="shared" si="5"/>
        <v>0.56043392215788312</v>
      </c>
      <c r="AN22" s="15">
        <f t="shared" si="5"/>
        <v>0.74413243922883487</v>
      </c>
      <c r="AO22" s="15">
        <f t="shared" si="5"/>
        <v>0.84561945194905441</v>
      </c>
    </row>
    <row r="24" spans="1:41">
      <c r="A24" s="3" t="s">
        <v>151</v>
      </c>
    </row>
    <row r="25" spans="1:41">
      <c r="A25" s="5" t="s">
        <v>152</v>
      </c>
      <c r="B25" s="17">
        <v>1</v>
      </c>
      <c r="C25" s="17">
        <v>1</v>
      </c>
      <c r="D25" s="17">
        <v>1</v>
      </c>
      <c r="E25" s="17">
        <v>1</v>
      </c>
      <c r="F25" s="17">
        <v>1</v>
      </c>
      <c r="G25" s="17">
        <v>1</v>
      </c>
      <c r="H25" s="17">
        <v>1</v>
      </c>
      <c r="I25" s="17">
        <v>1</v>
      </c>
      <c r="J25" s="17">
        <v>1</v>
      </c>
      <c r="K25" s="17">
        <v>1</v>
      </c>
      <c r="L25" s="17">
        <v>1</v>
      </c>
      <c r="M25" s="17">
        <v>1</v>
      </c>
      <c r="N25" s="17">
        <v>1</v>
      </c>
      <c r="O25" s="17">
        <v>1</v>
      </c>
      <c r="P25" s="17">
        <v>1</v>
      </c>
      <c r="Q25" s="17">
        <v>1</v>
      </c>
      <c r="R25" s="17">
        <v>1</v>
      </c>
      <c r="S25" s="17">
        <v>1</v>
      </c>
      <c r="T25" s="17">
        <v>1</v>
      </c>
      <c r="U25" s="17">
        <v>1</v>
      </c>
      <c r="V25" s="17">
        <v>1</v>
      </c>
      <c r="W25" s="17">
        <v>1</v>
      </c>
      <c r="X25" s="17">
        <v>1</v>
      </c>
      <c r="Y25" s="17">
        <v>1</v>
      </c>
      <c r="Z25" s="17">
        <v>1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>
        <v>1</v>
      </c>
      <c r="AJ25" s="17">
        <v>1</v>
      </c>
      <c r="AK25" s="17">
        <v>1</v>
      </c>
      <c r="AL25" s="17">
        <v>1</v>
      </c>
      <c r="AM25" s="17">
        <v>1</v>
      </c>
      <c r="AN25" s="17">
        <v>1</v>
      </c>
      <c r="AO25" s="17">
        <v>1</v>
      </c>
    </row>
    <row r="26" spans="1:41">
      <c r="A26" s="5" t="s">
        <v>85</v>
      </c>
      <c r="B26" s="10">
        <f t="shared" ref="B26:AO26" si="6">IF(B15="","",B15)</f>
        <v>2889</v>
      </c>
      <c r="C26" s="10">
        <f t="shared" si="6"/>
        <v>2750</v>
      </c>
      <c r="D26" s="10">
        <f t="shared" si="6"/>
        <v>3000</v>
      </c>
      <c r="E26" s="10">
        <f t="shared" si="6"/>
        <v>3064</v>
      </c>
      <c r="F26" s="10">
        <f t="shared" si="6"/>
        <v>3123</v>
      </c>
      <c r="G26" s="10">
        <f t="shared" si="6"/>
        <v>3160</v>
      </c>
      <c r="H26" s="10">
        <f t="shared" si="6"/>
        <v>3184</v>
      </c>
      <c r="I26" s="10">
        <f t="shared" si="6"/>
        <v>3369</v>
      </c>
      <c r="J26" s="10">
        <f t="shared" si="6"/>
        <v>3595</v>
      </c>
      <c r="K26" s="10">
        <f t="shared" si="6"/>
        <v>3876</v>
      </c>
      <c r="L26" s="10">
        <f t="shared" si="6"/>
        <v>4390</v>
      </c>
      <c r="M26" s="10">
        <f t="shared" si="6"/>
        <v>4905</v>
      </c>
      <c r="N26" s="10">
        <f t="shared" si="6"/>
        <v>5118</v>
      </c>
      <c r="O26" s="10">
        <f t="shared" si="6"/>
        <v>4943</v>
      </c>
      <c r="P26" s="10">
        <f t="shared" si="6"/>
        <v>5208</v>
      </c>
      <c r="Q26" s="10">
        <f t="shared" si="6"/>
        <v>5405</v>
      </c>
      <c r="R26" s="10">
        <f t="shared" si="6"/>
        <v>5607</v>
      </c>
      <c r="S26" s="10">
        <f t="shared" si="6"/>
        <v>5521</v>
      </c>
      <c r="T26" s="10">
        <f t="shared" si="6"/>
        <v>4743</v>
      </c>
      <c r="U26" s="10">
        <f t="shared" si="6"/>
        <v>4537</v>
      </c>
      <c r="V26" s="10">
        <f t="shared" si="6"/>
        <v>4487</v>
      </c>
      <c r="W26" s="10">
        <f t="shared" si="6"/>
        <v>4827</v>
      </c>
      <c r="X26" s="10">
        <f t="shared" si="6"/>
        <v>5383</v>
      </c>
      <c r="Y26" s="10">
        <f t="shared" si="6"/>
        <v>5629</v>
      </c>
      <c r="Z26" s="10">
        <f t="shared" si="6"/>
        <v>6663</v>
      </c>
      <c r="AA26" s="10">
        <f t="shared" si="6"/>
        <v>8359</v>
      </c>
      <c r="AB26" s="10">
        <f t="shared" si="6"/>
        <v>8129</v>
      </c>
      <c r="AC26" s="10">
        <f t="shared" si="6"/>
        <v>8238</v>
      </c>
      <c r="AD26" s="10">
        <f t="shared" si="6"/>
        <v>8387</v>
      </c>
      <c r="AE26" s="10">
        <f t="shared" si="6"/>
        <v>8276</v>
      </c>
      <c r="AF26" s="10">
        <f t="shared" si="6"/>
        <v>8443</v>
      </c>
      <c r="AG26" s="10">
        <f t="shared" si="6"/>
        <v>8512</v>
      </c>
      <c r="AH26" s="10">
        <f t="shared" si="6"/>
        <v>8875</v>
      </c>
      <c r="AI26" s="10">
        <f t="shared" si="6"/>
        <v>8705</v>
      </c>
      <c r="AJ26" s="10">
        <f t="shared" si="6"/>
        <v>9007</v>
      </c>
      <c r="AK26" s="10">
        <f t="shared" si="6"/>
        <v>8727</v>
      </c>
      <c r="AL26" s="10">
        <f t="shared" si="6"/>
        <v>8355</v>
      </c>
      <c r="AM26" s="10">
        <f t="shared" si="6"/>
        <v>8205</v>
      </c>
      <c r="AN26" s="10">
        <f t="shared" si="6"/>
        <v>8267</v>
      </c>
      <c r="AO26" s="10">
        <f t="shared" si="6"/>
        <v>8567</v>
      </c>
    </row>
    <row r="27" spans="1:41">
      <c r="A27" s="5" t="s">
        <v>82</v>
      </c>
      <c r="B27" s="10">
        <f t="shared" ref="B27:AO27" si="7">IF(B8="","",B8)</f>
        <v>-32</v>
      </c>
      <c r="C27" s="10">
        <f t="shared" si="7"/>
        <v>359</v>
      </c>
      <c r="D27" s="10">
        <f t="shared" si="7"/>
        <v>1044</v>
      </c>
      <c r="E27" s="10">
        <f t="shared" si="7"/>
        <v>1963</v>
      </c>
      <c r="F27" s="10">
        <f t="shared" si="7"/>
        <v>2502</v>
      </c>
      <c r="G27" s="10">
        <f t="shared" si="7"/>
        <v>3097</v>
      </c>
      <c r="H27" s="10">
        <f t="shared" si="7"/>
        <v>3567</v>
      </c>
      <c r="I27" s="10">
        <f t="shared" si="7"/>
        <v>3953</v>
      </c>
      <c r="J27" s="10">
        <f t="shared" si="7"/>
        <v>4377</v>
      </c>
      <c r="K27" s="10">
        <f t="shared" si="7"/>
        <v>3759</v>
      </c>
      <c r="L27" s="10">
        <f t="shared" si="7"/>
        <v>1957</v>
      </c>
      <c r="M27" s="10">
        <f t="shared" si="7"/>
        <v>1010</v>
      </c>
      <c r="N27" s="10">
        <f t="shared" si="7"/>
        <v>650</v>
      </c>
      <c r="O27" s="10">
        <f t="shared" si="7"/>
        <v>518</v>
      </c>
      <c r="P27" s="10">
        <f t="shared" si="7"/>
        <v>440</v>
      </c>
      <c r="Q27" s="10">
        <f t="shared" si="7"/>
        <v>888</v>
      </c>
      <c r="R27" s="10">
        <f t="shared" si="7"/>
        <v>1157</v>
      </c>
      <c r="S27" s="10">
        <f t="shared" si="7"/>
        <v>866</v>
      </c>
      <c r="T27" s="10">
        <f t="shared" si="7"/>
        <v>663</v>
      </c>
      <c r="U27" s="10">
        <f t="shared" si="7"/>
        <v>1799</v>
      </c>
      <c r="V27" s="10">
        <f t="shared" si="7"/>
        <v>2955</v>
      </c>
      <c r="W27" s="10">
        <f t="shared" si="7"/>
        <v>2631</v>
      </c>
      <c r="X27" s="10">
        <f t="shared" si="7"/>
        <v>2546</v>
      </c>
      <c r="Y27" s="10">
        <f t="shared" si="7"/>
        <v>3004</v>
      </c>
      <c r="Z27" s="10">
        <f t="shared" si="7"/>
        <v>1521</v>
      </c>
      <c r="AA27" s="10">
        <f t="shared" si="7"/>
        <v>-209</v>
      </c>
      <c r="AB27" s="10">
        <f t="shared" si="7"/>
        <v>-2303</v>
      </c>
      <c r="AC27" s="10">
        <f t="shared" si="7"/>
        <v>-1761</v>
      </c>
      <c r="AD27" s="10">
        <f t="shared" si="7"/>
        <v>-1472</v>
      </c>
      <c r="AE27" s="10">
        <f t="shared" si="7"/>
        <v>-1128</v>
      </c>
      <c r="AF27" s="10">
        <f t="shared" si="7"/>
        <v>191</v>
      </c>
      <c r="AG27" s="10">
        <f t="shared" si="7"/>
        <v>719</v>
      </c>
      <c r="AH27" s="10">
        <f t="shared" si="7"/>
        <v>1522</v>
      </c>
      <c r="AI27" s="10">
        <f t="shared" si="7"/>
        <v>2174</v>
      </c>
      <c r="AJ27" s="10">
        <f t="shared" si="7"/>
        <v>1773</v>
      </c>
      <c r="AK27" s="10">
        <f t="shared" si="7"/>
        <v>2169</v>
      </c>
      <c r="AL27" s="10">
        <f t="shared" si="7"/>
        <v>3654</v>
      </c>
      <c r="AM27" s="10">
        <f t="shared" si="7"/>
        <v>6136</v>
      </c>
      <c r="AN27" s="10">
        <f t="shared" si="7"/>
        <v>16135</v>
      </c>
      <c r="AO27" s="10">
        <f t="shared" si="7"/>
        <v>33318</v>
      </c>
    </row>
    <row r="28" spans="1:41">
      <c r="A28" s="5" t="s">
        <v>153</v>
      </c>
      <c r="B28" s="10" t="str">
        <f t="shared" ref="B28:AO28" si="8">IF(B10="","",B10)</f>
        <v/>
      </c>
      <c r="C28" s="10" t="str">
        <f t="shared" si="8"/>
        <v/>
      </c>
      <c r="D28" s="10" t="str">
        <f t="shared" si="8"/>
        <v/>
      </c>
      <c r="E28" s="10" t="str">
        <f t="shared" si="8"/>
        <v/>
      </c>
      <c r="F28" s="10" t="str">
        <f t="shared" si="8"/>
        <v/>
      </c>
      <c r="G28" s="10" t="str">
        <f t="shared" si="8"/>
        <v/>
      </c>
      <c r="H28" s="10" t="str">
        <f t="shared" si="8"/>
        <v/>
      </c>
      <c r="I28" s="10" t="str">
        <f t="shared" si="8"/>
        <v/>
      </c>
      <c r="J28" s="10" t="str">
        <f t="shared" si="8"/>
        <v/>
      </c>
      <c r="K28" s="10" t="str">
        <f t="shared" si="8"/>
        <v/>
      </c>
      <c r="L28" s="10" t="str">
        <f t="shared" si="8"/>
        <v/>
      </c>
      <c r="M28" s="10" t="str">
        <f t="shared" si="8"/>
        <v/>
      </c>
      <c r="N28" s="10" t="str">
        <f t="shared" si="8"/>
        <v/>
      </c>
      <c r="O28" s="10" t="str">
        <f t="shared" si="8"/>
        <v/>
      </c>
      <c r="P28" s="10" t="str">
        <f t="shared" si="8"/>
        <v/>
      </c>
      <c r="Q28" s="10" t="str">
        <f t="shared" si="8"/>
        <v/>
      </c>
      <c r="R28" s="10" t="str">
        <f t="shared" si="8"/>
        <v/>
      </c>
      <c r="S28" s="10" t="str">
        <f t="shared" si="8"/>
        <v/>
      </c>
      <c r="T28" s="10" t="str">
        <f t="shared" si="8"/>
        <v/>
      </c>
      <c r="U28" s="10" t="str">
        <f t="shared" si="8"/>
        <v/>
      </c>
      <c r="V28" s="10" t="str">
        <f t="shared" si="8"/>
        <v/>
      </c>
      <c r="W28" s="10">
        <f t="shared" si="8"/>
        <v>92826</v>
      </c>
      <c r="X28" s="10">
        <f t="shared" si="8"/>
        <v>99703</v>
      </c>
      <c r="Y28" s="10">
        <f t="shared" si="8"/>
        <v>83284</v>
      </c>
      <c r="Z28" s="10">
        <f t="shared" si="8"/>
        <v>62697</v>
      </c>
      <c r="AA28" s="10">
        <f t="shared" si="8"/>
        <v>60540</v>
      </c>
      <c r="AB28" s="10">
        <f t="shared" si="8"/>
        <v>61734</v>
      </c>
      <c r="AC28" s="10">
        <f t="shared" si="8"/>
        <v>75654</v>
      </c>
      <c r="AD28" s="10">
        <f t="shared" si="8"/>
        <v>76794</v>
      </c>
      <c r="AE28" s="10">
        <f t="shared" si="8"/>
        <v>84036</v>
      </c>
      <c r="AF28" s="10">
        <f t="shared" si="8"/>
        <v>100305</v>
      </c>
      <c r="AG28" s="10">
        <f t="shared" si="8"/>
        <v>140056</v>
      </c>
      <c r="AH28" s="10">
        <f t="shared" si="8"/>
        <v>105987</v>
      </c>
      <c r="AI28" s="10">
        <f t="shared" si="8"/>
        <v>109395</v>
      </c>
      <c r="AJ28" s="10">
        <f t="shared" si="8"/>
        <v>102655</v>
      </c>
      <c r="AK28" s="10">
        <f t="shared" si="8"/>
        <v>108319</v>
      </c>
      <c r="AL28" s="10">
        <f t="shared" si="8"/>
        <v>136884</v>
      </c>
      <c r="AM28" s="10">
        <f t="shared" si="8"/>
        <v>259273</v>
      </c>
      <c r="AN28" s="10">
        <f t="shared" si="8"/>
        <v>468752</v>
      </c>
      <c r="AO28" s="10">
        <f t="shared" si="8"/>
        <v>1042654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9"/>
  <sheetViews>
    <sheetView workbookViewId="0">
      <selection activeCell="K13" sqref="K13"/>
    </sheetView>
  </sheetViews>
  <sheetFormatPr defaultRowHeight="14.5"/>
  <cols>
    <col min="1" max="1" width="34" customWidth="1"/>
    <col min="2" max="11" width="9.453125" customWidth="1"/>
  </cols>
  <sheetData>
    <row r="1" spans="1:11" ht="18">
      <c r="A1" s="1" t="s">
        <v>157</v>
      </c>
    </row>
    <row r="2" spans="1:11">
      <c r="A2" s="2" t="s">
        <v>158</v>
      </c>
    </row>
    <row r="4" spans="1:11">
      <c r="A4" s="3" t="s">
        <v>159</v>
      </c>
      <c r="B4" s="18" t="s">
        <v>55</v>
      </c>
      <c r="C4" s="18" t="s">
        <v>56</v>
      </c>
      <c r="D4" s="18" t="s">
        <v>57</v>
      </c>
      <c r="E4" s="18" t="s">
        <v>58</v>
      </c>
      <c r="F4" s="18" t="s">
        <v>59</v>
      </c>
      <c r="G4" s="18" t="s">
        <v>60</v>
      </c>
      <c r="H4" s="18" t="s">
        <v>61</v>
      </c>
      <c r="I4" s="18" t="s">
        <v>62</v>
      </c>
      <c r="J4" s="18" t="s">
        <v>63</v>
      </c>
      <c r="K4" s="18" t="s">
        <v>64</v>
      </c>
    </row>
    <row r="5" spans="1:11">
      <c r="A5" s="5" t="s">
        <v>160</v>
      </c>
      <c r="B5" s="10">
        <f>연간_10년!B11</f>
        <v>2824.0261978628059</v>
      </c>
      <c r="C5" s="10">
        <f>연간_10년!C11</f>
        <v>12138.181174805377</v>
      </c>
      <c r="D5" s="10">
        <f>연간_10년!D11</f>
        <v>18938.760675994912</v>
      </c>
      <c r="E5" s="10">
        <f>연간_10년!E11</f>
        <v>2332.5040748048382</v>
      </c>
      <c r="F5" s="10">
        <f>연간_10년!F11</f>
        <v>4247.2252817080407</v>
      </c>
      <c r="G5" s="10">
        <f>연간_10년!G11</f>
        <v>10843.541932439754</v>
      </c>
      <c r="H5" s="10">
        <f>연간_10년!H11</f>
        <v>5425.8523629211477</v>
      </c>
      <c r="I5" s="10">
        <f>연간_10년!I11</f>
        <v>-5918.7908208972367</v>
      </c>
      <c r="J5" s="10">
        <f>연간_10년!J11</f>
        <v>17211.209140979663</v>
      </c>
      <c r="K5" s="10">
        <f>연간_10년!K11</f>
        <v>33193.170951229113</v>
      </c>
    </row>
    <row r="6" spans="1:11">
      <c r="A6" s="5" t="s">
        <v>161</v>
      </c>
      <c r="B6" s="10">
        <f>연간_10년!B14</f>
        <v>1677.5689326819574</v>
      </c>
      <c r="C6" s="10">
        <f>연간_10년!C14</f>
        <v>2464.0657084188911</v>
      </c>
      <c r="D6" s="10">
        <f>연간_10년!D14</f>
        <v>3955.8179053751905</v>
      </c>
      <c r="E6" s="10">
        <f>연간_10년!E14</f>
        <v>4579.7301971636107</v>
      </c>
      <c r="F6" s="10">
        <f>연간_10년!F14</f>
        <v>5648.5317131547454</v>
      </c>
      <c r="G6" s="10">
        <f>연간_10년!G14</f>
        <v>7528.6002691790045</v>
      </c>
      <c r="H6" s="10">
        <f>연간_10년!H14</f>
        <v>12360.924800757517</v>
      </c>
      <c r="I6" s="10">
        <f>연간_10년!I14</f>
        <v>10466.614906832297</v>
      </c>
      <c r="J6" s="10">
        <f>연간_10년!J14</f>
        <v>9057.1428571428569</v>
      </c>
      <c r="K6" s="10">
        <f>연간_10년!K14</f>
        <v>9929.8123697011815</v>
      </c>
    </row>
    <row r="7" spans="1:11">
      <c r="A7" s="5" t="s">
        <v>162</v>
      </c>
      <c r="B7" s="15">
        <f>연간_10년!B17</f>
        <v>0.19054541225723923</v>
      </c>
      <c r="C7" s="15">
        <f>연간_10년!C17</f>
        <v>0.45571091700156097</v>
      </c>
      <c r="D7" s="15">
        <f>연간_10년!D17</f>
        <v>0.51536654716281372</v>
      </c>
      <c r="E7" s="15">
        <f>연간_10년!E17</f>
        <v>0.10073728279796969</v>
      </c>
      <c r="F7" s="15">
        <f>연간_10년!F17</f>
        <v>0.1571473354231975</v>
      </c>
      <c r="G7" s="15">
        <f>연간_10년!G17</f>
        <v>0.28861807525931438</v>
      </c>
      <c r="H7" s="15">
        <f>연간_10년!H17</f>
        <v>0.15693872065938005</v>
      </c>
      <c r="I7" s="15">
        <f>연간_10년!I17</f>
        <v>-0.23591527803210643</v>
      </c>
      <c r="J7" s="15">
        <f>연간_10년!J17</f>
        <v>0.35453899959210183</v>
      </c>
      <c r="K7" s="15">
        <f>연간_10년!K17</f>
        <v>0.48592339444347221</v>
      </c>
    </row>
    <row r="8" spans="1:11">
      <c r="A8" s="5" t="s">
        <v>163</v>
      </c>
      <c r="B8" s="15">
        <f>연간_10년!B19</f>
        <v>9.7434856240136355E-2</v>
      </c>
      <c r="C8" s="15">
        <f>연간_10년!C19</f>
        <v>0.18646002368578446</v>
      </c>
      <c r="D8" s="15">
        <f>연간_10년!D19</f>
        <v>0.3808894292692987</v>
      </c>
      <c r="E8" s="15">
        <f>연간_10년!E19</f>
        <v>3.096349233176551E-2</v>
      </c>
      <c r="F8" s="15">
        <f>연간_10년!F19</f>
        <v>5.4048602629540046E-2</v>
      </c>
      <c r="G8" s="15">
        <f>연간_10년!G19</f>
        <v>0.11100514751310955</v>
      </c>
      <c r="H8" s="15">
        <f>연간_10년!H19</f>
        <v>4.6460845122772779E-2</v>
      </c>
      <c r="I8" s="15">
        <f>연간_10년!I19</f>
        <v>-9.039901341021582E-2</v>
      </c>
      <c r="J8" s="15">
        <f>연간_10년!J19</f>
        <v>0.17764508108079269</v>
      </c>
      <c r="K8" s="15">
        <f>연간_10년!K19</f>
        <v>0.10536664356477408</v>
      </c>
    </row>
    <row r="9" spans="1:11">
      <c r="A9" s="5" t="s">
        <v>164</v>
      </c>
      <c r="B9" s="10">
        <f>연간_10년!M11</f>
        <v>25199.069286452945</v>
      </c>
      <c r="C9" s="10">
        <f>연간_10년!N11</f>
        <v>47456.652512384993</v>
      </c>
      <c r="D9" s="10">
        <f>연간_10년!O11</f>
        <v>53504.452117027082</v>
      </c>
      <c r="E9" s="10">
        <f>연간_10년!P11</f>
        <v>23821.738011495239</v>
      </c>
      <c r="F9" s="10">
        <f>연간_10년!Q11</f>
        <v>30495.636702533255</v>
      </c>
      <c r="G9" s="10">
        <f>연간_10년!R11</f>
        <v>45116.47414501162</v>
      </c>
      <c r="H9" s="10">
        <f>연간_10년!S11</f>
        <v>33588.867981508578</v>
      </c>
      <c r="I9" s="10">
        <f>연간_10년!T11</f>
        <v>5028.2922795384411</v>
      </c>
      <c r="J9" s="10">
        <f>연간_10년!U11</f>
        <v>24000.938739888377</v>
      </c>
      <c r="K9" s="10">
        <f>연간_10년!V11</f>
        <v>30658.294425381107</v>
      </c>
    </row>
    <row r="10" spans="1:11">
      <c r="A10" s="5" t="s">
        <v>165</v>
      </c>
      <c r="B10" s="10">
        <f>연간_10년!M14</f>
        <v>15197.482818580773</v>
      </c>
      <c r="C10" s="10">
        <f>연간_10년!N14</f>
        <v>23318.088482359526</v>
      </c>
      <c r="D10" s="10">
        <f>연간_10년!O14</f>
        <v>25923.441552633936</v>
      </c>
      <c r="E10" s="10">
        <f>연간_10년!P14</f>
        <v>23145.970252507781</v>
      </c>
      <c r="F10" s="10">
        <f>연간_10년!Q14</f>
        <v>29497.376415354876</v>
      </c>
      <c r="G10" s="10">
        <f>연간_10년!R14</f>
        <v>34811.574697173623</v>
      </c>
      <c r="H10" s="10">
        <f>연간_10년!S14</f>
        <v>41180.462400378761</v>
      </c>
      <c r="I10" s="10">
        <f>연간_10년!T14</f>
        <v>40082.298136645964</v>
      </c>
      <c r="J10" s="10">
        <f>연간_10년!U14</f>
        <v>35207.482993197278</v>
      </c>
      <c r="K10" s="10">
        <f>연간_10년!V14</f>
        <v>36578.874218207086</v>
      </c>
    </row>
    <row r="11" spans="1:11">
      <c r="A11" s="5" t="s">
        <v>166</v>
      </c>
      <c r="B11" s="15">
        <f>연간_10년!M17</f>
        <v>0.14485279912021282</v>
      </c>
      <c r="C11" s="15">
        <f>연간_10년!N17</f>
        <v>0.22391735364708337</v>
      </c>
      <c r="D11" s="15">
        <f>연간_10년!O17</f>
        <v>0.24156688039184318</v>
      </c>
      <c r="E11" s="15">
        <f>연간_10년!P17</f>
        <v>0.12052465050064888</v>
      </c>
      <c r="F11" s="15">
        <f>연간_10년!Q17</f>
        <v>0.1519971960288336</v>
      </c>
      <c r="G11" s="15">
        <f>연간_10년!R17</f>
        <v>0.18466765615779401</v>
      </c>
      <c r="H11" s="15">
        <f>연간_10년!S17</f>
        <v>0.14352266974598898</v>
      </c>
      <c r="I11" s="15">
        <f>연간_10년!T17</f>
        <v>2.5361577229806705E-2</v>
      </c>
      <c r="J11" s="15">
        <f>연간_10년!U17</f>
        <v>0.10877086857822788</v>
      </c>
      <c r="K11" s="15">
        <f>연간_10년!V17</f>
        <v>0.13069609059789092</v>
      </c>
    </row>
    <row r="12" spans="1:11">
      <c r="A12" s="5" t="s">
        <v>167</v>
      </c>
      <c r="B12" s="15">
        <f>연간_10년!M19</f>
        <v>9.6007774846990399E-2</v>
      </c>
      <c r="C12" s="15">
        <f>연간_10년!N19</f>
        <v>0.11689662830078704</v>
      </c>
      <c r="D12" s="15">
        <f>연간_10년!O19</f>
        <v>0.17490735846083988</v>
      </c>
      <c r="E12" s="15">
        <f>연간_10년!P19</f>
        <v>5.8326964942252937E-2</v>
      </c>
      <c r="F12" s="15">
        <f>연간_10년!Q19</f>
        <v>4.4673786951261514E-2</v>
      </c>
      <c r="G12" s="15">
        <f>연간_10년!R19</f>
        <v>7.7567823428860289E-2</v>
      </c>
      <c r="H12" s="15">
        <f>연간_10년!S19</f>
        <v>0.14464175503807475</v>
      </c>
      <c r="I12" s="15">
        <f>연간_10년!T19</f>
        <v>2.75983580778188E-2</v>
      </c>
      <c r="J12" s="15">
        <f>연간_10년!U19</f>
        <v>0.10148299490149053</v>
      </c>
      <c r="K12" s="15">
        <f>연간_10년!V19</f>
        <v>5.740970878420204E-2</v>
      </c>
    </row>
    <row r="13" spans="1:11">
      <c r="A13" s="5" t="s">
        <v>168</v>
      </c>
      <c r="B13" s="10">
        <f>연간_10년!X11</f>
        <v>168</v>
      </c>
      <c r="C13" s="10">
        <f>연간_10년!Y11</f>
        <v>5868</v>
      </c>
      <c r="D13" s="10">
        <f>연간_10년!Z11</f>
        <v>14994</v>
      </c>
      <c r="E13" s="10">
        <f>연간_10년!AA11</f>
        <v>7376</v>
      </c>
      <c r="F13" s="10">
        <f>연간_10년!AB11</f>
        <v>3003</v>
      </c>
      <c r="G13" s="10">
        <f>연간_10년!AC11</f>
        <v>6283</v>
      </c>
      <c r="H13" s="10">
        <f>연간_10년!AD11</f>
        <v>9702</v>
      </c>
      <c r="I13" s="10">
        <f>연간_10년!AE11</f>
        <v>-5745</v>
      </c>
      <c r="J13" s="10">
        <f>연간_10년!AF11</f>
        <v>1304</v>
      </c>
      <c r="K13" s="10">
        <f>연간_10년!AG11</f>
        <v>9770</v>
      </c>
    </row>
    <row r="14" spans="1:11">
      <c r="A14" s="5" t="s">
        <v>169</v>
      </c>
      <c r="B14" s="10">
        <f>연간_10년!X14</f>
        <v>2889</v>
      </c>
      <c r="C14" s="10">
        <f>연간_10년!Y14</f>
        <v>3123</v>
      </c>
      <c r="D14" s="10">
        <f>연간_10년!Z14</f>
        <v>3595</v>
      </c>
      <c r="E14" s="10">
        <f>연간_10년!AA14</f>
        <v>5118</v>
      </c>
      <c r="F14" s="10">
        <f>연간_10년!AB14</f>
        <v>5607</v>
      </c>
      <c r="G14" s="10">
        <f>연간_10년!AC14</f>
        <v>4487</v>
      </c>
      <c r="H14" s="10">
        <f>연간_10년!AD14</f>
        <v>6663</v>
      </c>
      <c r="I14" s="10">
        <f>연간_10년!AE14</f>
        <v>8387</v>
      </c>
      <c r="J14" s="10">
        <f>연간_10년!AF14</f>
        <v>8875</v>
      </c>
      <c r="K14" s="10">
        <f>연간_10년!AG14</f>
        <v>8355</v>
      </c>
    </row>
    <row r="15" spans="1:11">
      <c r="A15" s="5" t="s">
        <v>170</v>
      </c>
      <c r="B15" s="15">
        <f>연간_10년!X17</f>
        <v>1.3549479796757804E-2</v>
      </c>
      <c r="C15" s="15">
        <f>연간_10년!Y17</f>
        <v>0.28875110717449071</v>
      </c>
      <c r="D15" s="15">
        <f>연간_10년!Z17</f>
        <v>0.49336974762265146</v>
      </c>
      <c r="E15" s="15">
        <f>연간_10년!AA17</f>
        <v>0.31513287191318468</v>
      </c>
      <c r="F15" s="15">
        <f>연간_10년!AB17</f>
        <v>0.14009797060881735</v>
      </c>
      <c r="G15" s="15">
        <f>연간_10년!AC17</f>
        <v>0.22678216928352282</v>
      </c>
      <c r="H15" s="15">
        <f>연간_10년!AD17</f>
        <v>0.31543013199817932</v>
      </c>
      <c r="I15" s="15">
        <f>연간_10년!AE17</f>
        <v>-0.36969111969111967</v>
      </c>
      <c r="J15" s="15">
        <f>연간_10년!AF17</f>
        <v>5.192943331607662E-2</v>
      </c>
      <c r="K15" s="15">
        <f>연간_10년!AG17</f>
        <v>0.26138370164267749</v>
      </c>
    </row>
    <row r="16" spans="1:11">
      <c r="A16" s="5" t="s">
        <v>171</v>
      </c>
      <c r="B16" s="15">
        <f>연간_10년!X19</f>
        <v>-1.145703611457036E-2</v>
      </c>
      <c r="C16" s="15">
        <f>연간_10년!Y19</f>
        <v>0.10704669751787968</v>
      </c>
      <c r="D16" s="15">
        <f>연간_10년!Z19</f>
        <v>0.39738543716615127</v>
      </c>
      <c r="E16" s="15">
        <f>연간_10년!AA19</f>
        <v>0.10567458988952126</v>
      </c>
      <c r="F16" s="15">
        <f>연간_10년!AB19</f>
        <v>3.2003334921391138E-2</v>
      </c>
      <c r="G16" s="15">
        <f>연간_10년!AC19</f>
        <v>5.6182898773006133E-2</v>
      </c>
      <c r="H16" s="15">
        <f>연간_10년!AD19</f>
        <v>0.15930680359435173</v>
      </c>
      <c r="I16" s="15">
        <f>연간_10년!AE19</f>
        <v>-6.1921443736730364E-2</v>
      </c>
      <c r="J16" s="15">
        <f>연간_10년!AF19</f>
        <v>7.879278914320437E-3</v>
      </c>
      <c r="K16" s="15">
        <f>연간_10년!AG19</f>
        <v>2.6640252082488377E-2</v>
      </c>
    </row>
    <row r="18" spans="1:11">
      <c r="A18" s="3" t="s">
        <v>172</v>
      </c>
      <c r="B18" s="18" t="s">
        <v>55</v>
      </c>
      <c r="C18" s="18" t="s">
        <v>56</v>
      </c>
      <c r="D18" s="18" t="s">
        <v>57</v>
      </c>
      <c r="E18" s="18" t="s">
        <v>58</v>
      </c>
      <c r="F18" s="18" t="s">
        <v>59</v>
      </c>
      <c r="G18" s="18" t="s">
        <v>60</v>
      </c>
      <c r="H18" s="18" t="s">
        <v>61</v>
      </c>
      <c r="I18" s="18" t="s">
        <v>62</v>
      </c>
      <c r="J18" s="18" t="s">
        <v>63</v>
      </c>
      <c r="K18" s="18" t="s">
        <v>64</v>
      </c>
    </row>
    <row r="19" spans="1:11">
      <c r="A19" s="5" t="s">
        <v>162</v>
      </c>
      <c r="B19" s="15">
        <f t="shared" ref="B19:K19" si="0">B7</f>
        <v>0.19054541225723923</v>
      </c>
      <c r="C19" s="15">
        <f t="shared" si="0"/>
        <v>0.45571091700156097</v>
      </c>
      <c r="D19" s="15">
        <f t="shared" si="0"/>
        <v>0.51536654716281372</v>
      </c>
      <c r="E19" s="15">
        <f t="shared" si="0"/>
        <v>0.10073728279796969</v>
      </c>
      <c r="F19" s="15">
        <f t="shared" si="0"/>
        <v>0.1571473354231975</v>
      </c>
      <c r="G19" s="15">
        <f t="shared" si="0"/>
        <v>0.28861807525931438</v>
      </c>
      <c r="H19" s="15">
        <f t="shared" si="0"/>
        <v>0.15693872065938005</v>
      </c>
      <c r="I19" s="15">
        <f t="shared" si="0"/>
        <v>-0.23591527803210643</v>
      </c>
      <c r="J19" s="15">
        <f t="shared" si="0"/>
        <v>0.35453899959210183</v>
      </c>
      <c r="K19" s="15">
        <f t="shared" si="0"/>
        <v>0.48592339444347221</v>
      </c>
    </row>
    <row r="20" spans="1:11">
      <c r="A20" s="5" t="s">
        <v>166</v>
      </c>
      <c r="B20" s="15">
        <f t="shared" ref="B20:K20" si="1">B11</f>
        <v>0.14485279912021282</v>
      </c>
      <c r="C20" s="15">
        <f t="shared" si="1"/>
        <v>0.22391735364708337</v>
      </c>
      <c r="D20" s="15">
        <f t="shared" si="1"/>
        <v>0.24156688039184318</v>
      </c>
      <c r="E20" s="15">
        <f t="shared" si="1"/>
        <v>0.12052465050064888</v>
      </c>
      <c r="F20" s="15">
        <f t="shared" si="1"/>
        <v>0.1519971960288336</v>
      </c>
      <c r="G20" s="15">
        <f t="shared" si="1"/>
        <v>0.18466765615779401</v>
      </c>
      <c r="H20" s="15">
        <f t="shared" si="1"/>
        <v>0.14352266974598898</v>
      </c>
      <c r="I20" s="15">
        <f t="shared" si="1"/>
        <v>2.5361577229806705E-2</v>
      </c>
      <c r="J20" s="15">
        <f t="shared" si="1"/>
        <v>0.10877086857822788</v>
      </c>
      <c r="K20" s="15">
        <f t="shared" si="1"/>
        <v>0.13069609059789092</v>
      </c>
    </row>
    <row r="21" spans="1:11">
      <c r="A21" s="5" t="s">
        <v>170</v>
      </c>
      <c r="B21" s="15">
        <f t="shared" ref="B21:K21" si="2">B15</f>
        <v>1.3549479796757804E-2</v>
      </c>
      <c r="C21" s="15">
        <f t="shared" si="2"/>
        <v>0.28875110717449071</v>
      </c>
      <c r="D21" s="15">
        <f t="shared" si="2"/>
        <v>0.49336974762265146</v>
      </c>
      <c r="E21" s="15">
        <f t="shared" si="2"/>
        <v>0.31513287191318468</v>
      </c>
      <c r="F21" s="15">
        <f t="shared" si="2"/>
        <v>0.14009797060881735</v>
      </c>
      <c r="G21" s="15">
        <f t="shared" si="2"/>
        <v>0.22678216928352282</v>
      </c>
      <c r="H21" s="15">
        <f t="shared" si="2"/>
        <v>0.31543013199817932</v>
      </c>
      <c r="I21" s="15">
        <f t="shared" si="2"/>
        <v>-0.36969111969111967</v>
      </c>
      <c r="J21" s="15">
        <f t="shared" si="2"/>
        <v>5.192943331607662E-2</v>
      </c>
      <c r="K21" s="15">
        <f t="shared" si="2"/>
        <v>0.26138370164267749</v>
      </c>
    </row>
    <row r="23" spans="1:11">
      <c r="A23" s="5" t="s">
        <v>161</v>
      </c>
      <c r="B23" s="10">
        <f t="shared" ref="B23:K23" si="3">B6</f>
        <v>1677.5689326819574</v>
      </c>
      <c r="C23" s="10">
        <f t="shared" si="3"/>
        <v>2464.0657084188911</v>
      </c>
      <c r="D23" s="10">
        <f t="shared" si="3"/>
        <v>3955.8179053751905</v>
      </c>
      <c r="E23" s="10">
        <f t="shared" si="3"/>
        <v>4579.7301971636107</v>
      </c>
      <c r="F23" s="10">
        <f t="shared" si="3"/>
        <v>5648.5317131547454</v>
      </c>
      <c r="G23" s="10">
        <f t="shared" si="3"/>
        <v>7528.6002691790045</v>
      </c>
      <c r="H23" s="10">
        <f t="shared" si="3"/>
        <v>12360.924800757517</v>
      </c>
      <c r="I23" s="10">
        <f t="shared" si="3"/>
        <v>10466.614906832297</v>
      </c>
      <c r="J23" s="10">
        <f t="shared" si="3"/>
        <v>9057.1428571428569</v>
      </c>
      <c r="K23" s="10">
        <f t="shared" si="3"/>
        <v>9929.8123697011815</v>
      </c>
    </row>
    <row r="24" spans="1:11">
      <c r="A24" s="5" t="s">
        <v>165</v>
      </c>
      <c r="B24" s="10">
        <f t="shared" ref="B24:K24" si="4">B10</f>
        <v>15197.482818580773</v>
      </c>
      <c r="C24" s="10">
        <f t="shared" si="4"/>
        <v>23318.088482359526</v>
      </c>
      <c r="D24" s="10">
        <f t="shared" si="4"/>
        <v>25923.441552633936</v>
      </c>
      <c r="E24" s="10">
        <f t="shared" si="4"/>
        <v>23145.970252507781</v>
      </c>
      <c r="F24" s="10">
        <f t="shared" si="4"/>
        <v>29497.376415354876</v>
      </c>
      <c r="G24" s="10">
        <f t="shared" si="4"/>
        <v>34811.574697173623</v>
      </c>
      <c r="H24" s="10">
        <f t="shared" si="4"/>
        <v>41180.462400378761</v>
      </c>
      <c r="I24" s="10">
        <f t="shared" si="4"/>
        <v>40082.298136645964</v>
      </c>
      <c r="J24" s="10">
        <f t="shared" si="4"/>
        <v>35207.482993197278</v>
      </c>
      <c r="K24" s="10">
        <f t="shared" si="4"/>
        <v>36578.874218207086</v>
      </c>
    </row>
    <row r="25" spans="1:11">
      <c r="A25" s="5" t="s">
        <v>169</v>
      </c>
      <c r="B25" s="10">
        <f t="shared" ref="B25:K25" si="5">B14</f>
        <v>2889</v>
      </c>
      <c r="C25" s="10">
        <f t="shared" si="5"/>
        <v>3123</v>
      </c>
      <c r="D25" s="10">
        <f t="shared" si="5"/>
        <v>3595</v>
      </c>
      <c r="E25" s="10">
        <f t="shared" si="5"/>
        <v>5118</v>
      </c>
      <c r="F25" s="10">
        <f t="shared" si="5"/>
        <v>5607</v>
      </c>
      <c r="G25" s="10">
        <f t="shared" si="5"/>
        <v>4487</v>
      </c>
      <c r="H25" s="10">
        <f t="shared" si="5"/>
        <v>6663</v>
      </c>
      <c r="I25" s="10">
        <f t="shared" si="5"/>
        <v>8387</v>
      </c>
      <c r="J25" s="10">
        <f t="shared" si="5"/>
        <v>8875</v>
      </c>
      <c r="K25" s="10">
        <f t="shared" si="5"/>
        <v>8355</v>
      </c>
    </row>
    <row r="27" spans="1:11">
      <c r="A27" s="5" t="s">
        <v>163</v>
      </c>
      <c r="B27" s="15">
        <f t="shared" ref="B27:K27" si="6">B8</f>
        <v>9.7434856240136355E-2</v>
      </c>
      <c r="C27" s="15">
        <f t="shared" si="6"/>
        <v>0.18646002368578446</v>
      </c>
      <c r="D27" s="15">
        <f t="shared" si="6"/>
        <v>0.3808894292692987</v>
      </c>
      <c r="E27" s="15">
        <f t="shared" si="6"/>
        <v>3.096349233176551E-2</v>
      </c>
      <c r="F27" s="15">
        <f t="shared" si="6"/>
        <v>5.4048602629540046E-2</v>
      </c>
      <c r="G27" s="15">
        <f t="shared" si="6"/>
        <v>0.11100514751310955</v>
      </c>
      <c r="H27" s="15">
        <f t="shared" si="6"/>
        <v>4.6460845122772779E-2</v>
      </c>
      <c r="I27" s="15">
        <f t="shared" si="6"/>
        <v>-9.039901341021582E-2</v>
      </c>
      <c r="J27" s="15">
        <f t="shared" si="6"/>
        <v>0.17764508108079269</v>
      </c>
      <c r="K27" s="15">
        <f t="shared" si="6"/>
        <v>0.10536664356477408</v>
      </c>
    </row>
    <row r="28" spans="1:11">
      <c r="A28" s="5" t="s">
        <v>167</v>
      </c>
      <c r="B28" s="15">
        <f t="shared" ref="B28:K28" si="7">B12</f>
        <v>9.6007774846990399E-2</v>
      </c>
      <c r="C28" s="15">
        <f t="shared" si="7"/>
        <v>0.11689662830078704</v>
      </c>
      <c r="D28" s="15">
        <f t="shared" si="7"/>
        <v>0.17490735846083988</v>
      </c>
      <c r="E28" s="15">
        <f t="shared" si="7"/>
        <v>5.8326964942252937E-2</v>
      </c>
      <c r="F28" s="15">
        <f t="shared" si="7"/>
        <v>4.4673786951261514E-2</v>
      </c>
      <c r="G28" s="15">
        <f t="shared" si="7"/>
        <v>7.7567823428860289E-2</v>
      </c>
      <c r="H28" s="15">
        <f t="shared" si="7"/>
        <v>0.14464175503807475</v>
      </c>
      <c r="I28" s="15">
        <f t="shared" si="7"/>
        <v>2.75983580778188E-2</v>
      </c>
      <c r="J28" s="15">
        <f t="shared" si="7"/>
        <v>0.10148299490149053</v>
      </c>
      <c r="K28" s="15">
        <f t="shared" si="7"/>
        <v>5.740970878420204E-2</v>
      </c>
    </row>
    <row r="29" spans="1:11">
      <c r="A29" s="5" t="s">
        <v>171</v>
      </c>
      <c r="B29" s="15">
        <f t="shared" ref="B29:K29" si="8">B16</f>
        <v>-1.145703611457036E-2</v>
      </c>
      <c r="C29" s="15">
        <f t="shared" si="8"/>
        <v>0.10704669751787968</v>
      </c>
      <c r="D29" s="15">
        <f t="shared" si="8"/>
        <v>0.39738543716615127</v>
      </c>
      <c r="E29" s="15">
        <f t="shared" si="8"/>
        <v>0.10567458988952126</v>
      </c>
      <c r="F29" s="15">
        <f t="shared" si="8"/>
        <v>3.2003334921391138E-2</v>
      </c>
      <c r="G29" s="15">
        <f t="shared" si="8"/>
        <v>5.6182898773006133E-2</v>
      </c>
      <c r="H29" s="15">
        <f t="shared" si="8"/>
        <v>0.15930680359435173</v>
      </c>
      <c r="I29" s="15">
        <f t="shared" si="8"/>
        <v>-6.1921443736730364E-2</v>
      </c>
      <c r="J29" s="15">
        <f t="shared" si="8"/>
        <v>7.879278914320437E-3</v>
      </c>
      <c r="K29" s="15">
        <f t="shared" si="8"/>
        <v>2.6640252082488377E-2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9"/>
  <sheetViews>
    <sheetView workbookViewId="0">
      <selection activeCell="J26" sqref="J26"/>
    </sheetView>
  </sheetViews>
  <sheetFormatPr defaultRowHeight="14.5"/>
  <cols>
    <col min="1" max="1" width="34" customWidth="1"/>
    <col min="2" max="21" width="9.453125" customWidth="1"/>
  </cols>
  <sheetData>
    <row r="1" spans="1:21" ht="18">
      <c r="A1" s="1" t="s">
        <v>173</v>
      </c>
    </row>
    <row r="2" spans="1:21">
      <c r="A2" s="2" t="s">
        <v>158</v>
      </c>
    </row>
    <row r="4" spans="1:21">
      <c r="A4" s="3" t="s">
        <v>159</v>
      </c>
      <c r="B4" s="18" t="s">
        <v>127</v>
      </c>
      <c r="C4" s="18" t="s">
        <v>128</v>
      </c>
      <c r="D4" s="18" t="s">
        <v>129</v>
      </c>
      <c r="E4" s="18" t="s">
        <v>130</v>
      </c>
      <c r="F4" s="18" t="s">
        <v>131</v>
      </c>
      <c r="G4" s="18" t="s">
        <v>132</v>
      </c>
      <c r="H4" s="18" t="s">
        <v>133</v>
      </c>
      <c r="I4" s="18" t="s">
        <v>134</v>
      </c>
      <c r="J4" s="18" t="s">
        <v>135</v>
      </c>
      <c r="K4" s="18" t="s">
        <v>136</v>
      </c>
      <c r="L4" s="18" t="s">
        <v>137</v>
      </c>
      <c r="M4" s="18" t="s">
        <v>138</v>
      </c>
      <c r="N4" s="18" t="s">
        <v>139</v>
      </c>
      <c r="O4" s="18" t="s">
        <v>140</v>
      </c>
      <c r="P4" s="18" t="s">
        <v>141</v>
      </c>
      <c r="Q4" s="18" t="s">
        <v>142</v>
      </c>
      <c r="R4" s="18" t="s">
        <v>143</v>
      </c>
      <c r="S4" s="18" t="s">
        <v>144</v>
      </c>
      <c r="T4" s="18" t="s">
        <v>145</v>
      </c>
      <c r="U4" s="18" t="s">
        <v>146</v>
      </c>
    </row>
    <row r="5" spans="1:21">
      <c r="A5" s="5" t="s">
        <v>160</v>
      </c>
      <c r="B5" s="10">
        <f>SK하이닉스_분기!B27</f>
        <v>3509.4212651413191</v>
      </c>
      <c r="C5" s="10">
        <f>SK하이닉스_분기!C27</f>
        <v>3549.7981157469717</v>
      </c>
      <c r="D5" s="10">
        <f>SK하이닉스_분기!D27</f>
        <v>2259.9226702438255</v>
      </c>
      <c r="E5" s="10">
        <f>SK하이닉스_분기!E27</f>
        <v>3311.7651700465558</v>
      </c>
      <c r="F5" s="10">
        <f>SK하이닉스_분기!F27</f>
        <v>1310.6604592440622</v>
      </c>
      <c r="G5" s="10">
        <f>SK하이닉스_분기!G27</f>
        <v>-1508.7193245482522</v>
      </c>
      <c r="H5" s="10">
        <f>SK하이닉스_분기!H27</f>
        <v>-2641.304347826087</v>
      </c>
      <c r="I5" s="10">
        <f>SK하이닉스_분기!I27</f>
        <v>-2237.5776397515529</v>
      </c>
      <c r="J5" s="10">
        <f>SK하이닉스_분기!J27</f>
        <v>-1391.304347826087</v>
      </c>
      <c r="K5" s="10">
        <f>SK하이닉스_분기!K27</f>
        <v>268.63354037267078</v>
      </c>
      <c r="L5" s="10">
        <f>SK하이닉스_분기!L27</f>
        <v>1963.2653061224489</v>
      </c>
      <c r="M5" s="10">
        <f>SK하이닉스_분기!M27</f>
        <v>3720.408163265306</v>
      </c>
      <c r="N5" s="10">
        <f>SK하이닉스_분기!N27</f>
        <v>4782.3129251700684</v>
      </c>
      <c r="O5" s="10">
        <f>SK하이닉스_분기!O27</f>
        <v>5498.6394557823132</v>
      </c>
      <c r="P5" s="10">
        <f>SK하이닉스_분기!P27</f>
        <v>5170.9520500347462</v>
      </c>
      <c r="Q5" s="10">
        <f>SK하이닉스_분기!Q27</f>
        <v>6402.3627519110496</v>
      </c>
      <c r="R5" s="10">
        <f>SK하이닉스_분기!R27</f>
        <v>7910.3544127866571</v>
      </c>
      <c r="S5" s="10">
        <f>SK하이닉스_분기!S27</f>
        <v>13321.751216122308</v>
      </c>
      <c r="T5" s="10">
        <f>SK하이닉스_분기!T27</f>
        <v>24467.358423055655</v>
      </c>
      <c r="U5" s="10">
        <f>SK하이닉스_분기!U27</f>
        <v>39186.407766990291</v>
      </c>
    </row>
    <row r="6" spans="1:21">
      <c r="A6" s="5" t="s">
        <v>161</v>
      </c>
      <c r="B6" s="10">
        <f>SK하이닉스_분기!B26</f>
        <v>5551.8169582772543</v>
      </c>
      <c r="C6" s="10">
        <f>SK하이닉스_분기!C26</f>
        <v>7528.6002691790045</v>
      </c>
      <c r="D6" s="10">
        <f>SK하이닉스_분기!D26</f>
        <v>8200.8995502248872</v>
      </c>
      <c r="E6" s="10">
        <f>SK하이닉스_분기!E26</f>
        <v>9373.4711591572632</v>
      </c>
      <c r="F6" s="10">
        <f>SK하이닉스_분기!F26</f>
        <v>11571.845656119309</v>
      </c>
      <c r="G6" s="10">
        <f>SK하이닉스_분기!G26</f>
        <v>12360.924800757517</v>
      </c>
      <c r="H6" s="10">
        <f>SK하이닉스_분기!H26</f>
        <v>13340.062111801242</v>
      </c>
      <c r="I6" s="10">
        <f>SK하이닉스_분기!I26</f>
        <v>12748.447204968945</v>
      </c>
      <c r="J6" s="10">
        <f>SK하이닉스_분기!J26</f>
        <v>11605.590062111802</v>
      </c>
      <c r="K6" s="10">
        <f>SK하이닉스_분기!K26</f>
        <v>10466.614906832297</v>
      </c>
      <c r="L6" s="10">
        <f>SK하이닉스_분기!L26</f>
        <v>9418.3673469387759</v>
      </c>
      <c r="M6" s="10">
        <f>SK하이닉스_분기!M26</f>
        <v>9085.0340136054419</v>
      </c>
      <c r="N6" s="10">
        <f>SK하이닉스_분기!N26</f>
        <v>9084.3537414965995</v>
      </c>
      <c r="O6" s="10">
        <f>SK하이닉스_분기!O26</f>
        <v>9057.1428571428569</v>
      </c>
      <c r="P6" s="10">
        <f>SK하이닉스_분기!P26</f>
        <v>10111.883252258513</v>
      </c>
      <c r="Q6" s="10">
        <f>SK하이닉스_분기!Q26</f>
        <v>9317.5816539263378</v>
      </c>
      <c r="R6" s="10">
        <f>SK하이닉스_분기!R26</f>
        <v>9142.4600416956218</v>
      </c>
      <c r="S6" s="10">
        <f>SK하이닉스_분기!S26</f>
        <v>9929.8123697011815</v>
      </c>
      <c r="T6" s="10">
        <f>SK하이닉스_분기!T26</f>
        <v>10391.959145171259</v>
      </c>
      <c r="U6" s="10">
        <f>SK하이닉스_분기!U26</f>
        <v>11641.423948220065</v>
      </c>
    </row>
    <row r="7" spans="1:21">
      <c r="A7" s="5" t="s">
        <v>162</v>
      </c>
      <c r="B7" s="15">
        <f>SK하이닉스_분기!B19</f>
        <v>0.35340957221516306</v>
      </c>
      <c r="C7" s="15">
        <f>SK하이닉스_분기!C19</f>
        <v>0.3409549971721742</v>
      </c>
      <c r="D7" s="15">
        <f>SK하이닉스_분기!D19</f>
        <v>0.23560381704508063</v>
      </c>
      <c r="E7" s="15">
        <f>SK하이닉스_분기!E19</f>
        <v>0.30388820505394248</v>
      </c>
      <c r="F7" s="15">
        <f>SK하이닉스_분기!F19</f>
        <v>0.15123372484749159</v>
      </c>
      <c r="G7" s="15">
        <f>SK하이닉스_분기!G19</f>
        <v>-0.24921793534932221</v>
      </c>
      <c r="H7" s="15">
        <f>SK하이닉스_분기!H19</f>
        <v>-0.66863207547169812</v>
      </c>
      <c r="I7" s="15">
        <f>SK하이닉스_분기!I19</f>
        <v>-0.39447029838488912</v>
      </c>
      <c r="J7" s="15">
        <f>SK하이닉스_분기!J19</f>
        <v>-0.19766159276417383</v>
      </c>
      <c r="K7" s="15">
        <f>SK하이닉스_분기!K19</f>
        <v>3.0603219529453388E-2</v>
      </c>
      <c r="L7" s="15">
        <f>SK하이닉스_분기!L19</f>
        <v>0.23218020917135962</v>
      </c>
      <c r="M7" s="15">
        <f>SK하이닉스_분기!M19</f>
        <v>0.33300858552030688</v>
      </c>
      <c r="N7" s="15">
        <f>SK하이닉스_분기!N19</f>
        <v>0.40004552438399815</v>
      </c>
      <c r="O7" s="15">
        <f>SK하이닉스_분기!O19</f>
        <v>0.40891384630950572</v>
      </c>
      <c r="P7" s="15">
        <f>SK하이닉스_분기!P19</f>
        <v>0.42184931118544133</v>
      </c>
      <c r="Q7" s="15">
        <f>SK하이닉스_분기!Q19</f>
        <v>0.41440266282835553</v>
      </c>
      <c r="R7" s="15">
        <f>SK하이닉스_분기!R19</f>
        <v>0.465581414372776</v>
      </c>
      <c r="S7" s="15">
        <f>SK하이닉스_분기!S19</f>
        <v>0.58397051207847195</v>
      </c>
      <c r="T7" s="15">
        <f>SK하이닉스_분기!T19</f>
        <v>0.71534540474741326</v>
      </c>
      <c r="U7" s="15">
        <f>SK하이닉스_분기!U19</f>
        <v>0.76328496324966277</v>
      </c>
    </row>
    <row r="8" spans="1:21">
      <c r="A8" s="5" t="s">
        <v>163</v>
      </c>
      <c r="B8" s="15">
        <f>SK하이닉스_분기!B11</f>
        <v>4.6749029297564422E-2</v>
      </c>
      <c r="C8" s="15">
        <f>SK하이닉스_분기!C11</f>
        <v>3.6823641732720534E-2</v>
      </c>
      <c r="D8" s="15">
        <f>SK하이닉스_분기!D11</f>
        <v>2.4439542020483367E-2</v>
      </c>
      <c r="E8" s="15">
        <f>SK하이닉스_분기!E11</f>
        <v>4.5960112503196114E-2</v>
      </c>
      <c r="F8" s="15">
        <f>SK하이닉스_분기!F11</f>
        <v>1.9459610807783845E-2</v>
      </c>
      <c r="G8" s="15">
        <f>SK하이닉스_분기!G11</f>
        <v>-7.2536549424128433E-2</v>
      </c>
      <c r="H8" s="15">
        <f>SK하이닉스_분기!H11</f>
        <v>-4.2346453074221184E-2</v>
      </c>
      <c r="I8" s="15">
        <f>SK하이닉스_분기!I11</f>
        <v>-3.7734658861526042E-2</v>
      </c>
      <c r="J8" s="15">
        <f>SK하이닉스_분기!J11</f>
        <v>-2.7672190968526685E-2</v>
      </c>
      <c r="K8" s="15">
        <f>SK하이닉스_분기!K11</f>
        <v>-1.3936817024073617E-2</v>
      </c>
      <c r="L8" s="15">
        <f>SK하이닉스_분기!L11</f>
        <v>1.5238745642385788E-2</v>
      </c>
      <c r="M8" s="15">
        <f>SK하이닉스_분기!M11</f>
        <v>2.5315677901010785E-2</v>
      </c>
      <c r="N8" s="15">
        <f>SK하이닉스_분기!N11</f>
        <v>4.7815491587168246E-2</v>
      </c>
      <c r="O8" s="15">
        <f>SK하이닉스_분기!O11</f>
        <v>6.676458806249165E-2</v>
      </c>
      <c r="P8" s="15">
        <f>SK하이닉스_분기!P11</f>
        <v>6.1697108066971082E-2</v>
      </c>
      <c r="Q8" s="15">
        <f>SK하이닉스_분기!Q11</f>
        <v>3.4710612607338986E-2</v>
      </c>
      <c r="R8" s="15">
        <f>SK하이닉스_분기!R11</f>
        <v>5.2497103176918782E-2</v>
      </c>
      <c r="S8" s="15">
        <f>SK하이닉스_분기!S11</f>
        <v>3.3860898893402686E-2</v>
      </c>
      <c r="T8" s="15">
        <f>SK하이닉스_분기!T11</f>
        <v>7.1221071406496958E-2</v>
      </c>
      <c r="U8" s="15">
        <f>SK하이닉스_분기!U11</f>
        <v>5.0039238417740772E-2</v>
      </c>
    </row>
    <row r="9" spans="1:21">
      <c r="A9" s="5" t="s">
        <v>164</v>
      </c>
      <c r="B9" s="10">
        <f>삼성전자_분기!B27</f>
        <v>13305.85464333782</v>
      </c>
      <c r="C9" s="10">
        <f>삼성전자_분기!C27</f>
        <v>11670.592193808883</v>
      </c>
      <c r="D9" s="10">
        <f>삼성전자_분기!D27</f>
        <v>11142.586601436124</v>
      </c>
      <c r="E9" s="10">
        <f>삼성전자_분기!E27</f>
        <v>11123.648701964807</v>
      </c>
      <c r="F9" s="10">
        <f>삼성전자_분기!F27</f>
        <v>8563.086877613825</v>
      </c>
      <c r="G9" s="10">
        <f>삼성전자_분기!G27</f>
        <v>3404.8765091138644</v>
      </c>
      <c r="H9" s="10">
        <f>삼성전자_분기!H27</f>
        <v>496.89440993788821</v>
      </c>
      <c r="I9" s="10">
        <f>삼성전자_분기!I27</f>
        <v>519.40993788819878</v>
      </c>
      <c r="J9" s="10">
        <f>삼성전자_분기!J27</f>
        <v>1889.7515527950311</v>
      </c>
      <c r="K9" s="10">
        <f>삼성전자_분기!K27</f>
        <v>2194.8757763975154</v>
      </c>
      <c r="L9" s="10">
        <f>삼성전자_분기!L27</f>
        <v>4493.8775510204077</v>
      </c>
      <c r="M9" s="10">
        <f>삼성전자_분기!M27</f>
        <v>7104.7619047619046</v>
      </c>
      <c r="N9" s="10">
        <f>삼성전자_분기!N27</f>
        <v>6246.9387755102043</v>
      </c>
      <c r="O9" s="10">
        <f>삼성전자_분기!O27</f>
        <v>4414.9659863945581</v>
      </c>
      <c r="P9" s="10">
        <f>삼성전자_분기!P27</f>
        <v>4645.5872133425992</v>
      </c>
      <c r="Q9" s="10">
        <f>삼성전자_분기!Q27</f>
        <v>3249.4788047255038</v>
      </c>
      <c r="R9" s="10">
        <f>삼성전자_분기!R27</f>
        <v>8454.4822793606672</v>
      </c>
      <c r="S9" s="10">
        <f>삼성전자_분기!S27</f>
        <v>13899.235580264072</v>
      </c>
      <c r="T9" s="10">
        <f>삼성전자_분기!T27</f>
        <v>37233.191295579476</v>
      </c>
      <c r="U9" s="10">
        <f>삼성전자_분기!U27</f>
        <v>57928.802588996761</v>
      </c>
    </row>
    <row r="10" spans="1:21">
      <c r="A10" s="5" t="s">
        <v>165</v>
      </c>
      <c r="B10" s="10">
        <f>삼성전자_분기!B26</f>
        <v>31798.452220726784</v>
      </c>
      <c r="C10" s="10">
        <f>삼성전자_분기!C26</f>
        <v>34811.574697173623</v>
      </c>
      <c r="D10" s="10">
        <f>삼성전자_분기!D26</f>
        <v>37553.065572476924</v>
      </c>
      <c r="E10" s="10">
        <f>삼성전자_분기!E26</f>
        <v>41104.710802493493</v>
      </c>
      <c r="F10" s="10">
        <f>삼성전자_분기!F26</f>
        <v>45230.016570662039</v>
      </c>
      <c r="G10" s="10">
        <f>삼성전자_분기!G26</f>
        <v>41180.462400378761</v>
      </c>
      <c r="H10" s="10">
        <f>삼성전자_분기!H26</f>
        <v>42251.552795031057</v>
      </c>
      <c r="I10" s="10">
        <f>삼성전자_분기!I26</f>
        <v>43093.944099378881</v>
      </c>
      <c r="J10" s="10">
        <f>삼성전자_분기!J26</f>
        <v>42900.621118012423</v>
      </c>
      <c r="K10" s="10">
        <f>삼성전자_분기!K26</f>
        <v>40082.298136645964</v>
      </c>
      <c r="L10" s="10">
        <f>삼성전자_분기!L26</f>
        <v>36291.156462585037</v>
      </c>
      <c r="M10" s="10">
        <f>삼성전자_분기!M26</f>
        <v>37800.680272108846</v>
      </c>
      <c r="N10" s="10">
        <f>삼성전자_분기!N26</f>
        <v>36297.278911564623</v>
      </c>
      <c r="O10" s="10">
        <f>삼성전자_분기!O26</f>
        <v>35207.482993197278</v>
      </c>
      <c r="P10" s="10">
        <f>삼성전자_분기!P26</f>
        <v>36984.016678248787</v>
      </c>
      <c r="Q10" s="10">
        <f>삼성전자_분기!Q26</f>
        <v>35466.990965948578</v>
      </c>
      <c r="R10" s="10">
        <f>삼성전자_분기!R26</f>
        <v>34977.067407922172</v>
      </c>
      <c r="S10" s="10">
        <f>삼성전자_분기!S26</f>
        <v>36578.874218207086</v>
      </c>
      <c r="T10" s="10">
        <f>삼성전자_분기!T26</f>
        <v>37913.020850274857</v>
      </c>
      <c r="U10" s="10">
        <f>삼성전자_분기!U26</f>
        <v>46206.472491909386</v>
      </c>
    </row>
    <row r="11" spans="1:21">
      <c r="A11" s="5" t="s">
        <v>166</v>
      </c>
      <c r="B11" s="15">
        <f>삼성전자_분기!B19</f>
        <v>0.21381743467740846</v>
      </c>
      <c r="C11" s="15">
        <f>삼성전자_분기!C19</f>
        <v>0.18120551165676224</v>
      </c>
      <c r="D11" s="15">
        <f>삼성전자_분기!D19</f>
        <v>0.18154819300343272</v>
      </c>
      <c r="E11" s="15">
        <f>삼성전자_분기!E19</f>
        <v>0.18259416610538315</v>
      </c>
      <c r="F11" s="15">
        <f>삼성전자_분기!F19</f>
        <v>0.14133520877288949</v>
      </c>
      <c r="G11" s="15">
        <f>삼성전자_분기!G19</f>
        <v>6.1231729814105296E-2</v>
      </c>
      <c r="H11" s="15">
        <f>삼성전자_분기!H19</f>
        <v>1.004000313750098E-2</v>
      </c>
      <c r="I11" s="15">
        <f>삼성전자_분기!I19</f>
        <v>1.1148885111488852E-2</v>
      </c>
      <c r="J11" s="15">
        <f>삼성전자_분기!J19</f>
        <v>3.6110080854536014E-2</v>
      </c>
      <c r="K11" s="15">
        <f>삼성전자_분기!K19</f>
        <v>4.1711545555145703E-2</v>
      </c>
      <c r="L11" s="15">
        <f>삼성전자_분기!L19</f>
        <v>9.1857166694476897E-2</v>
      </c>
      <c r="M11" s="15">
        <f>삼성전자_분기!M19</f>
        <v>0.14100556245612139</v>
      </c>
      <c r="N11" s="15">
        <f>삼성전자_분기!N19</f>
        <v>0.11609502016460385</v>
      </c>
      <c r="O11" s="15">
        <f>삼성전자_분기!O19</f>
        <v>8.5636999406214956E-2</v>
      </c>
      <c r="P11" s="15">
        <f>삼성전자_분기!P19</f>
        <v>8.4469491161344945E-2</v>
      </c>
      <c r="Q11" s="15">
        <f>삼성전자_분기!Q19</f>
        <v>6.2709545905640637E-2</v>
      </c>
      <c r="R11" s="15">
        <f>삼성전자_분기!R19</f>
        <v>0.14136320327205967</v>
      </c>
      <c r="S11" s="15">
        <f>삼성전자_분기!S19</f>
        <v>0.2132166385945462</v>
      </c>
      <c r="T11" s="15">
        <f>삼성전자_분기!T19</f>
        <v>0.42751712443883383</v>
      </c>
      <c r="U11" s="15">
        <f>삼성전자_분기!U19</f>
        <v>0.52186588921282795</v>
      </c>
    </row>
    <row r="12" spans="1:21">
      <c r="A12" s="5" t="s">
        <v>167</v>
      </c>
      <c r="B12" s="15">
        <f>삼성전자_분기!B11</f>
        <v>2.4131664378324934E-2</v>
      </c>
      <c r="C12" s="15">
        <f>삼성전자_분기!C11</f>
        <v>2.0234818183200765E-2</v>
      </c>
      <c r="D12" s="15">
        <f>삼성전자_분기!D11</f>
        <v>2.3813548623162203E-2</v>
      </c>
      <c r="E12" s="15">
        <f>삼성전자_분기!E11</f>
        <v>2.8598055697682919E-2</v>
      </c>
      <c r="F12" s="15">
        <f>삼성전자_분기!F11</f>
        <v>2.571508117517696E-2</v>
      </c>
      <c r="G12" s="15">
        <f>삼성전자_분기!G11</f>
        <v>6.3255175753662379E-2</v>
      </c>
      <c r="H12" s="15">
        <f>삼성전자_분기!H11</f>
        <v>3.2854931757422259E-3</v>
      </c>
      <c r="I12" s="15">
        <f>삼성전자_분기!I11</f>
        <v>3.2230509604566858E-3</v>
      </c>
      <c r="J12" s="15">
        <f>삼성전자_분기!J11</f>
        <v>1.2138664548303103E-2</v>
      </c>
      <c r="K12" s="15">
        <f>삼성전자_분기!K11</f>
        <v>1.1585053876367105E-2</v>
      </c>
      <c r="L12" s="15">
        <f>삼성전자_분기!L11</f>
        <v>1.2085071897142733E-2</v>
      </c>
      <c r="M12" s="15">
        <f>삼성전자_분기!M11</f>
        <v>1.7894754422656173E-2</v>
      </c>
      <c r="N12" s="15">
        <f>삼성전자_분기!N11</f>
        <v>2.3915291655563081E-2</v>
      </c>
      <c r="O12" s="15">
        <f>삼성전자_분기!O11</f>
        <v>2.141460713518889E-2</v>
      </c>
      <c r="P12" s="15">
        <f>삼성전자_분기!P11</f>
        <v>2.1269380358410785E-2</v>
      </c>
      <c r="Q12" s="15">
        <f>삼성전자_분기!Q11</f>
        <v>1.1078131864763519E-2</v>
      </c>
      <c r="R12" s="15">
        <f>삼성전자_분기!R11</f>
        <v>1.9299596378193815E-2</v>
      </c>
      <c r="S12" s="15">
        <f>삼성전자_분기!S11</f>
        <v>2.5157159154991802E-2</v>
      </c>
      <c r="T12" s="15">
        <f>삼성전자_분기!T11</f>
        <v>4.439160290810662E-2</v>
      </c>
      <c r="U12" s="15">
        <f>삼성전자_분기!U11</f>
        <v>3.3874646703588286E-2</v>
      </c>
    </row>
    <row r="13" spans="1:21">
      <c r="A13" s="5" t="s">
        <v>168</v>
      </c>
      <c r="B13" s="10">
        <f>마이크론_분기!V27</f>
        <v>2955</v>
      </c>
      <c r="C13" s="10">
        <f>마이크론_분기!W27</f>
        <v>2631</v>
      </c>
      <c r="D13" s="10">
        <f>마이크론_분기!X27</f>
        <v>2546</v>
      </c>
      <c r="E13" s="10">
        <f>마이크론_분기!Y27</f>
        <v>3004</v>
      </c>
      <c r="F13" s="10">
        <f>마이크론_분기!Z27</f>
        <v>1521</v>
      </c>
      <c r="G13" s="10">
        <f>마이크론_분기!AA27</f>
        <v>-209</v>
      </c>
      <c r="H13" s="10">
        <f>마이크론_분기!AB27</f>
        <v>-2303</v>
      </c>
      <c r="I13" s="10">
        <f>마이크론_분기!AC27</f>
        <v>-1761</v>
      </c>
      <c r="J13" s="10">
        <f>마이크론_분기!AD27</f>
        <v>-1472</v>
      </c>
      <c r="K13" s="10">
        <f>마이크론_분기!AE27</f>
        <v>-1128</v>
      </c>
      <c r="L13" s="10">
        <f>마이크론_분기!AF27</f>
        <v>191</v>
      </c>
      <c r="M13" s="10">
        <f>마이크론_분기!AG27</f>
        <v>719</v>
      </c>
      <c r="N13" s="10">
        <f>마이크론_분기!AH27</f>
        <v>1522</v>
      </c>
      <c r="O13" s="10">
        <f>마이크론_분기!AI27</f>
        <v>2174</v>
      </c>
      <c r="P13" s="10">
        <f>마이크론_분기!AJ27</f>
        <v>1773</v>
      </c>
      <c r="Q13" s="10">
        <f>마이크론_분기!AK27</f>
        <v>2169</v>
      </c>
      <c r="R13" s="10">
        <f>마이크론_분기!AL27</f>
        <v>3654</v>
      </c>
      <c r="S13" s="10">
        <f>마이크론_분기!AM27</f>
        <v>6136</v>
      </c>
      <c r="T13" s="10">
        <f>마이크론_분기!AN27</f>
        <v>16135</v>
      </c>
      <c r="U13" s="10">
        <f>마이크론_분기!AO27</f>
        <v>33318</v>
      </c>
    </row>
    <row r="14" spans="1:21">
      <c r="A14" s="5" t="s">
        <v>169</v>
      </c>
      <c r="B14" s="10">
        <f>마이크론_분기!V26</f>
        <v>4487</v>
      </c>
      <c r="C14" s="10">
        <f>마이크론_분기!W26</f>
        <v>4827</v>
      </c>
      <c r="D14" s="10">
        <f>마이크론_분기!X26</f>
        <v>5383</v>
      </c>
      <c r="E14" s="10">
        <f>마이크론_분기!Y26</f>
        <v>5629</v>
      </c>
      <c r="F14" s="10">
        <f>마이크론_분기!Z26</f>
        <v>6663</v>
      </c>
      <c r="G14" s="10">
        <f>마이크론_분기!AA26</f>
        <v>8359</v>
      </c>
      <c r="H14" s="10">
        <f>마이크론_분기!AB26</f>
        <v>8129</v>
      </c>
      <c r="I14" s="10">
        <f>마이크론_분기!AC26</f>
        <v>8238</v>
      </c>
      <c r="J14" s="10">
        <f>마이크론_분기!AD26</f>
        <v>8387</v>
      </c>
      <c r="K14" s="10">
        <f>마이크론_분기!AE26</f>
        <v>8276</v>
      </c>
      <c r="L14" s="10">
        <f>마이크론_분기!AF26</f>
        <v>8443</v>
      </c>
      <c r="M14" s="10">
        <f>마이크론_분기!AG26</f>
        <v>8512</v>
      </c>
      <c r="N14" s="10">
        <f>마이크론_분기!AH26</f>
        <v>8875</v>
      </c>
      <c r="O14" s="10">
        <f>마이크론_분기!AI26</f>
        <v>8705</v>
      </c>
      <c r="P14" s="10">
        <f>마이크론_분기!AJ26</f>
        <v>9007</v>
      </c>
      <c r="Q14" s="10">
        <f>마이크론_분기!AK26</f>
        <v>8727</v>
      </c>
      <c r="R14" s="10">
        <f>마이크론_분기!AL26</f>
        <v>8355</v>
      </c>
      <c r="S14" s="10">
        <f>마이크론_분기!AM26</f>
        <v>8205</v>
      </c>
      <c r="T14" s="10">
        <f>마이크론_분기!AN26</f>
        <v>8267</v>
      </c>
      <c r="U14" s="10">
        <f>마이크론_분기!AO26</f>
        <v>8567</v>
      </c>
    </row>
    <row r="15" spans="1:21">
      <c r="A15" s="5" t="s">
        <v>170</v>
      </c>
      <c r="B15" s="15">
        <f>마이크론_분기!V19</f>
        <v>0.35714285714285715</v>
      </c>
      <c r="C15" s="15">
        <f>마이크론_분기!W19</f>
        <v>0.34226616365292051</v>
      </c>
      <c r="D15" s="15">
        <f>마이크론_분기!X19</f>
        <v>0.32699717441561776</v>
      </c>
      <c r="E15" s="15">
        <f>마이크론_분기!Y19</f>
        <v>0.34760472112936819</v>
      </c>
      <c r="F15" s="15">
        <f>마이크론_분기!Z19</f>
        <v>0.22896281800391388</v>
      </c>
      <c r="G15" s="15">
        <f>마이크론_분기!AA19</f>
        <v>-5.1162790697674418E-2</v>
      </c>
      <c r="H15" s="15">
        <f>마이크론_분기!AB19</f>
        <v>-0.62361223937178445</v>
      </c>
      <c r="I15" s="15">
        <f>마이크론_분기!AC19</f>
        <v>-0.46934968017057571</v>
      </c>
      <c r="J15" s="15">
        <f>마이크론_분기!AD19</f>
        <v>-0.36708229426433914</v>
      </c>
      <c r="K15" s="15">
        <f>마이크론_분기!AE19</f>
        <v>-0.23867964451967838</v>
      </c>
      <c r="L15" s="15">
        <f>마이크론_분기!AF19</f>
        <v>3.2795329670329672E-2</v>
      </c>
      <c r="M15" s="15">
        <f>마이크론_분기!AG19</f>
        <v>0.10556452796946117</v>
      </c>
      <c r="N15" s="15">
        <f>마이크론_분기!AH19</f>
        <v>0.19638709677419355</v>
      </c>
      <c r="O15" s="15">
        <f>마이크론_분기!AI19</f>
        <v>0.24962682282696061</v>
      </c>
      <c r="P15" s="15">
        <f>마이크론_분기!AJ19</f>
        <v>0.22016639761579535</v>
      </c>
      <c r="Q15" s="15">
        <f>마이크론_분기!AK19</f>
        <v>0.23320073110418235</v>
      </c>
      <c r="R15" s="15">
        <f>마이크론_분기!AL19</f>
        <v>0.32293415819708354</v>
      </c>
      <c r="S15" s="15">
        <f>마이크론_분기!AM19</f>
        <v>0.44975445283295462</v>
      </c>
      <c r="T15" s="15">
        <f>마이크론_분기!AN19</f>
        <v>0.67623637887678123</v>
      </c>
      <c r="U15" s="15">
        <f>마이크론_분기!AO19</f>
        <v>0.80369548436896954</v>
      </c>
    </row>
    <row r="16" spans="1:21">
      <c r="A16" s="5" t="s">
        <v>171</v>
      </c>
      <c r="B16" s="15" t="str">
        <f>마이크론_분기!V11</f>
        <v/>
      </c>
      <c r="C16" s="15">
        <f>마이크론_분기!W11</f>
        <v>2.4842177838105703E-2</v>
      </c>
      <c r="D16" s="15">
        <f>마이크론_분기!X11</f>
        <v>2.2697411311595438E-2</v>
      </c>
      <c r="E16" s="15">
        <f>마이크론_분기!Y11</f>
        <v>3.1530666154363382E-2</v>
      </c>
      <c r="F16" s="15">
        <f>마이크론_분기!Z11</f>
        <v>2.3796991881589232E-2</v>
      </c>
      <c r="G16" s="15">
        <f>마이크론_분기!AA11</f>
        <v>-3.2210109018830525E-3</v>
      </c>
      <c r="H16" s="15">
        <f>마이크론_분기!AB11</f>
        <v>-3.7450999449250011E-2</v>
      </c>
      <c r="I16" s="15">
        <f>마이크론_분기!AC11</f>
        <v>-2.5061464033626774E-2</v>
      </c>
      <c r="J16" s="15">
        <f>마이크론_분기!AD11</f>
        <v>-1.8621246451545694E-2</v>
      </c>
      <c r="K16" s="15">
        <f>마이크론_분기!AE11</f>
        <v>-1.4684182969203674E-2</v>
      </c>
      <c r="L16" s="15">
        <f>마이크론_분기!AF11</f>
        <v>7.9058870445142312E-3</v>
      </c>
      <c r="M16" s="15">
        <f>마이크론_분기!AG11</f>
        <v>2.3704803792768607E-3</v>
      </c>
      <c r="N16" s="15">
        <f>마이크론_분기!AH11</f>
        <v>8.3689509090737538E-3</v>
      </c>
      <c r="O16" s="15">
        <f>마이크론_분기!AI11</f>
        <v>1.7094017094017096E-2</v>
      </c>
      <c r="P16" s="15">
        <f>마이크론_분기!AJ11</f>
        <v>1.5420583507866154E-2</v>
      </c>
      <c r="Q16" s="15">
        <f>마이크론_분기!AK11</f>
        <v>1.7402302458479121E-2</v>
      </c>
      <c r="R16" s="15">
        <f>마이크론_분기!AL11</f>
        <v>2.33847637415622E-2</v>
      </c>
      <c r="S16" s="15">
        <f>마이크론_분기!AM11</f>
        <v>2.021035742248518E-2</v>
      </c>
      <c r="T16" s="15">
        <f>마이크론_분기!AN11</f>
        <v>2.940787452640202E-2</v>
      </c>
      <c r="U16" s="15">
        <f>마이크론_분기!AO11</f>
        <v>2.7087605284207415E-2</v>
      </c>
    </row>
    <row r="18" spans="1:21">
      <c r="A18" s="3" t="s">
        <v>172</v>
      </c>
      <c r="B18" s="18" t="s">
        <v>127</v>
      </c>
      <c r="C18" s="18" t="s">
        <v>128</v>
      </c>
      <c r="D18" s="18" t="s">
        <v>129</v>
      </c>
      <c r="E18" s="18" t="s">
        <v>130</v>
      </c>
      <c r="F18" s="18" t="s">
        <v>131</v>
      </c>
      <c r="G18" s="18" t="s">
        <v>132</v>
      </c>
      <c r="H18" s="18" t="s">
        <v>133</v>
      </c>
      <c r="I18" s="18" t="s">
        <v>134</v>
      </c>
      <c r="J18" s="18" t="s">
        <v>135</v>
      </c>
      <c r="K18" s="18" t="s">
        <v>136</v>
      </c>
      <c r="L18" s="18" t="s">
        <v>137</v>
      </c>
      <c r="M18" s="18" t="s">
        <v>138</v>
      </c>
      <c r="N18" s="18" t="s">
        <v>139</v>
      </c>
      <c r="O18" s="18" t="s">
        <v>140</v>
      </c>
      <c r="P18" s="18" t="s">
        <v>141</v>
      </c>
      <c r="Q18" s="18" t="s">
        <v>142</v>
      </c>
      <c r="R18" s="18" t="s">
        <v>143</v>
      </c>
      <c r="S18" s="18" t="s">
        <v>144</v>
      </c>
      <c r="T18" s="18" t="s">
        <v>145</v>
      </c>
      <c r="U18" s="18" t="s">
        <v>146</v>
      </c>
    </row>
    <row r="19" spans="1:21">
      <c r="A19" s="5" t="s">
        <v>162</v>
      </c>
      <c r="B19" s="15">
        <f t="shared" ref="B19:U19" si="0">B7</f>
        <v>0.35340957221516306</v>
      </c>
      <c r="C19" s="15">
        <f t="shared" si="0"/>
        <v>0.3409549971721742</v>
      </c>
      <c r="D19" s="15">
        <f t="shared" si="0"/>
        <v>0.23560381704508063</v>
      </c>
      <c r="E19" s="15">
        <f t="shared" si="0"/>
        <v>0.30388820505394248</v>
      </c>
      <c r="F19" s="15">
        <f t="shared" si="0"/>
        <v>0.15123372484749159</v>
      </c>
      <c r="G19" s="15">
        <f t="shared" si="0"/>
        <v>-0.24921793534932221</v>
      </c>
      <c r="H19" s="15">
        <f t="shared" si="0"/>
        <v>-0.66863207547169812</v>
      </c>
      <c r="I19" s="15">
        <f t="shared" si="0"/>
        <v>-0.39447029838488912</v>
      </c>
      <c r="J19" s="15">
        <f t="shared" si="0"/>
        <v>-0.19766159276417383</v>
      </c>
      <c r="K19" s="15">
        <f t="shared" si="0"/>
        <v>3.0603219529453388E-2</v>
      </c>
      <c r="L19" s="15">
        <f t="shared" si="0"/>
        <v>0.23218020917135962</v>
      </c>
      <c r="M19" s="15">
        <f t="shared" si="0"/>
        <v>0.33300858552030688</v>
      </c>
      <c r="N19" s="15">
        <f t="shared" si="0"/>
        <v>0.40004552438399815</v>
      </c>
      <c r="O19" s="15">
        <f t="shared" si="0"/>
        <v>0.40891384630950572</v>
      </c>
      <c r="P19" s="15">
        <f t="shared" si="0"/>
        <v>0.42184931118544133</v>
      </c>
      <c r="Q19" s="15">
        <f t="shared" si="0"/>
        <v>0.41440266282835553</v>
      </c>
      <c r="R19" s="15">
        <f t="shared" si="0"/>
        <v>0.465581414372776</v>
      </c>
      <c r="S19" s="15">
        <f t="shared" si="0"/>
        <v>0.58397051207847195</v>
      </c>
      <c r="T19" s="15">
        <f t="shared" si="0"/>
        <v>0.71534540474741326</v>
      </c>
      <c r="U19" s="15">
        <f t="shared" si="0"/>
        <v>0.76328496324966277</v>
      </c>
    </row>
    <row r="20" spans="1:21">
      <c r="A20" s="5" t="s">
        <v>166</v>
      </c>
      <c r="B20" s="15">
        <f t="shared" ref="B20:U20" si="1">B11</f>
        <v>0.21381743467740846</v>
      </c>
      <c r="C20" s="15">
        <f t="shared" si="1"/>
        <v>0.18120551165676224</v>
      </c>
      <c r="D20" s="15">
        <f t="shared" si="1"/>
        <v>0.18154819300343272</v>
      </c>
      <c r="E20" s="15">
        <f t="shared" si="1"/>
        <v>0.18259416610538315</v>
      </c>
      <c r="F20" s="15">
        <f t="shared" si="1"/>
        <v>0.14133520877288949</v>
      </c>
      <c r="G20" s="15">
        <f t="shared" si="1"/>
        <v>6.1231729814105296E-2</v>
      </c>
      <c r="H20" s="15">
        <f t="shared" si="1"/>
        <v>1.004000313750098E-2</v>
      </c>
      <c r="I20" s="15">
        <f t="shared" si="1"/>
        <v>1.1148885111488852E-2</v>
      </c>
      <c r="J20" s="15">
        <f t="shared" si="1"/>
        <v>3.6110080854536014E-2</v>
      </c>
      <c r="K20" s="15">
        <f t="shared" si="1"/>
        <v>4.1711545555145703E-2</v>
      </c>
      <c r="L20" s="15">
        <f t="shared" si="1"/>
        <v>9.1857166694476897E-2</v>
      </c>
      <c r="M20" s="15">
        <f t="shared" si="1"/>
        <v>0.14100556245612139</v>
      </c>
      <c r="N20" s="15">
        <f t="shared" si="1"/>
        <v>0.11609502016460385</v>
      </c>
      <c r="O20" s="15">
        <f t="shared" si="1"/>
        <v>8.5636999406214956E-2</v>
      </c>
      <c r="P20" s="15">
        <f t="shared" si="1"/>
        <v>8.4469491161344945E-2</v>
      </c>
      <c r="Q20" s="15">
        <f t="shared" si="1"/>
        <v>6.2709545905640637E-2</v>
      </c>
      <c r="R20" s="15">
        <f t="shared" si="1"/>
        <v>0.14136320327205967</v>
      </c>
      <c r="S20" s="15">
        <f t="shared" si="1"/>
        <v>0.2132166385945462</v>
      </c>
      <c r="T20" s="15">
        <f t="shared" si="1"/>
        <v>0.42751712443883383</v>
      </c>
      <c r="U20" s="15">
        <f t="shared" si="1"/>
        <v>0.52186588921282795</v>
      </c>
    </row>
    <row r="21" spans="1:21">
      <c r="A21" s="5" t="s">
        <v>170</v>
      </c>
      <c r="B21" s="15">
        <f t="shared" ref="B21:U21" si="2">B15</f>
        <v>0.35714285714285715</v>
      </c>
      <c r="C21" s="15">
        <f t="shared" si="2"/>
        <v>0.34226616365292051</v>
      </c>
      <c r="D21" s="15">
        <f t="shared" si="2"/>
        <v>0.32699717441561776</v>
      </c>
      <c r="E21" s="15">
        <f t="shared" si="2"/>
        <v>0.34760472112936819</v>
      </c>
      <c r="F21" s="15">
        <f t="shared" si="2"/>
        <v>0.22896281800391388</v>
      </c>
      <c r="G21" s="15">
        <f t="shared" si="2"/>
        <v>-5.1162790697674418E-2</v>
      </c>
      <c r="H21" s="15">
        <f t="shared" si="2"/>
        <v>-0.62361223937178445</v>
      </c>
      <c r="I21" s="15">
        <f t="shared" si="2"/>
        <v>-0.46934968017057571</v>
      </c>
      <c r="J21" s="15">
        <f t="shared" si="2"/>
        <v>-0.36708229426433914</v>
      </c>
      <c r="K21" s="15">
        <f t="shared" si="2"/>
        <v>-0.23867964451967838</v>
      </c>
      <c r="L21" s="15">
        <f t="shared" si="2"/>
        <v>3.2795329670329672E-2</v>
      </c>
      <c r="M21" s="15">
        <f t="shared" si="2"/>
        <v>0.10556452796946117</v>
      </c>
      <c r="N21" s="15">
        <f t="shared" si="2"/>
        <v>0.19638709677419355</v>
      </c>
      <c r="O21" s="15">
        <f t="shared" si="2"/>
        <v>0.24962682282696061</v>
      </c>
      <c r="P21" s="15">
        <f t="shared" si="2"/>
        <v>0.22016639761579535</v>
      </c>
      <c r="Q21" s="15">
        <f t="shared" si="2"/>
        <v>0.23320073110418235</v>
      </c>
      <c r="R21" s="15">
        <f t="shared" si="2"/>
        <v>0.32293415819708354</v>
      </c>
      <c r="S21" s="15">
        <f t="shared" si="2"/>
        <v>0.44975445283295462</v>
      </c>
      <c r="T21" s="15">
        <f t="shared" si="2"/>
        <v>0.67623637887678123</v>
      </c>
      <c r="U21" s="15">
        <f t="shared" si="2"/>
        <v>0.80369548436896954</v>
      </c>
    </row>
    <row r="23" spans="1:21">
      <c r="A23" s="5" t="s">
        <v>161</v>
      </c>
      <c r="B23" s="10">
        <f t="shared" ref="B23:U23" si="3">B6</f>
        <v>5551.8169582772543</v>
      </c>
      <c r="C23" s="10">
        <f t="shared" si="3"/>
        <v>7528.6002691790045</v>
      </c>
      <c r="D23" s="10">
        <f t="shared" si="3"/>
        <v>8200.8995502248872</v>
      </c>
      <c r="E23" s="10">
        <f t="shared" si="3"/>
        <v>9373.4711591572632</v>
      </c>
      <c r="F23" s="10">
        <f t="shared" si="3"/>
        <v>11571.845656119309</v>
      </c>
      <c r="G23" s="10">
        <f t="shared" si="3"/>
        <v>12360.924800757517</v>
      </c>
      <c r="H23" s="10">
        <f t="shared" si="3"/>
        <v>13340.062111801242</v>
      </c>
      <c r="I23" s="10">
        <f t="shared" si="3"/>
        <v>12748.447204968945</v>
      </c>
      <c r="J23" s="10">
        <f t="shared" si="3"/>
        <v>11605.590062111802</v>
      </c>
      <c r="K23" s="10">
        <f t="shared" si="3"/>
        <v>10466.614906832297</v>
      </c>
      <c r="L23" s="10">
        <f t="shared" si="3"/>
        <v>9418.3673469387759</v>
      </c>
      <c r="M23" s="10">
        <f t="shared" si="3"/>
        <v>9085.0340136054419</v>
      </c>
      <c r="N23" s="10">
        <f t="shared" si="3"/>
        <v>9084.3537414965995</v>
      </c>
      <c r="O23" s="10">
        <f t="shared" si="3"/>
        <v>9057.1428571428569</v>
      </c>
      <c r="P23" s="10">
        <f t="shared" si="3"/>
        <v>10111.883252258513</v>
      </c>
      <c r="Q23" s="10">
        <f t="shared" si="3"/>
        <v>9317.5816539263378</v>
      </c>
      <c r="R23" s="10">
        <f t="shared" si="3"/>
        <v>9142.4600416956218</v>
      </c>
      <c r="S23" s="10">
        <f t="shared" si="3"/>
        <v>9929.8123697011815</v>
      </c>
      <c r="T23" s="10">
        <f t="shared" si="3"/>
        <v>10391.959145171259</v>
      </c>
      <c r="U23" s="10">
        <f t="shared" si="3"/>
        <v>11641.423948220065</v>
      </c>
    </row>
    <row r="24" spans="1:21">
      <c r="A24" s="5" t="s">
        <v>165</v>
      </c>
      <c r="B24" s="10">
        <f t="shared" ref="B24:U24" si="4">B10</f>
        <v>31798.452220726784</v>
      </c>
      <c r="C24" s="10">
        <f t="shared" si="4"/>
        <v>34811.574697173623</v>
      </c>
      <c r="D24" s="10">
        <f t="shared" si="4"/>
        <v>37553.065572476924</v>
      </c>
      <c r="E24" s="10">
        <f t="shared" si="4"/>
        <v>41104.710802493493</v>
      </c>
      <c r="F24" s="10">
        <f t="shared" si="4"/>
        <v>45230.016570662039</v>
      </c>
      <c r="G24" s="10">
        <f t="shared" si="4"/>
        <v>41180.462400378761</v>
      </c>
      <c r="H24" s="10">
        <f t="shared" si="4"/>
        <v>42251.552795031057</v>
      </c>
      <c r="I24" s="10">
        <f t="shared" si="4"/>
        <v>43093.944099378881</v>
      </c>
      <c r="J24" s="10">
        <f t="shared" si="4"/>
        <v>42900.621118012423</v>
      </c>
      <c r="K24" s="10">
        <f t="shared" si="4"/>
        <v>40082.298136645964</v>
      </c>
      <c r="L24" s="10">
        <f t="shared" si="4"/>
        <v>36291.156462585037</v>
      </c>
      <c r="M24" s="10">
        <f t="shared" si="4"/>
        <v>37800.680272108846</v>
      </c>
      <c r="N24" s="10">
        <f t="shared" si="4"/>
        <v>36297.278911564623</v>
      </c>
      <c r="O24" s="10">
        <f t="shared" si="4"/>
        <v>35207.482993197278</v>
      </c>
      <c r="P24" s="10">
        <f t="shared" si="4"/>
        <v>36984.016678248787</v>
      </c>
      <c r="Q24" s="10">
        <f t="shared" si="4"/>
        <v>35466.990965948578</v>
      </c>
      <c r="R24" s="10">
        <f t="shared" si="4"/>
        <v>34977.067407922172</v>
      </c>
      <c r="S24" s="10">
        <f t="shared" si="4"/>
        <v>36578.874218207086</v>
      </c>
      <c r="T24" s="10">
        <f t="shared" si="4"/>
        <v>37913.020850274857</v>
      </c>
      <c r="U24" s="10">
        <f t="shared" si="4"/>
        <v>46206.472491909386</v>
      </c>
    </row>
    <row r="25" spans="1:21">
      <c r="A25" s="5" t="s">
        <v>169</v>
      </c>
      <c r="B25" s="10">
        <f t="shared" ref="B25:U25" si="5">B14</f>
        <v>4487</v>
      </c>
      <c r="C25" s="10">
        <f t="shared" si="5"/>
        <v>4827</v>
      </c>
      <c r="D25" s="10">
        <f t="shared" si="5"/>
        <v>5383</v>
      </c>
      <c r="E25" s="10">
        <f t="shared" si="5"/>
        <v>5629</v>
      </c>
      <c r="F25" s="10">
        <f t="shared" si="5"/>
        <v>6663</v>
      </c>
      <c r="G25" s="10">
        <f t="shared" si="5"/>
        <v>8359</v>
      </c>
      <c r="H25" s="10">
        <f t="shared" si="5"/>
        <v>8129</v>
      </c>
      <c r="I25" s="10">
        <f t="shared" si="5"/>
        <v>8238</v>
      </c>
      <c r="J25" s="10">
        <f t="shared" si="5"/>
        <v>8387</v>
      </c>
      <c r="K25" s="10">
        <f t="shared" si="5"/>
        <v>8276</v>
      </c>
      <c r="L25" s="10">
        <f t="shared" si="5"/>
        <v>8443</v>
      </c>
      <c r="M25" s="10">
        <f t="shared" si="5"/>
        <v>8512</v>
      </c>
      <c r="N25" s="10">
        <f t="shared" si="5"/>
        <v>8875</v>
      </c>
      <c r="O25" s="10">
        <f t="shared" si="5"/>
        <v>8705</v>
      </c>
      <c r="P25" s="10">
        <f t="shared" si="5"/>
        <v>9007</v>
      </c>
      <c r="Q25" s="10">
        <f t="shared" si="5"/>
        <v>8727</v>
      </c>
      <c r="R25" s="10">
        <f t="shared" si="5"/>
        <v>8355</v>
      </c>
      <c r="S25" s="10">
        <f t="shared" si="5"/>
        <v>8205</v>
      </c>
      <c r="T25" s="10">
        <f t="shared" si="5"/>
        <v>8267</v>
      </c>
      <c r="U25" s="10">
        <f t="shared" si="5"/>
        <v>8567</v>
      </c>
    </row>
    <row r="27" spans="1:21">
      <c r="A27" s="5" t="s">
        <v>163</v>
      </c>
      <c r="B27" s="15">
        <f t="shared" ref="B27:U27" si="6">B8</f>
        <v>4.6749029297564422E-2</v>
      </c>
      <c r="C27" s="15">
        <f t="shared" si="6"/>
        <v>3.6823641732720534E-2</v>
      </c>
      <c r="D27" s="15">
        <f t="shared" si="6"/>
        <v>2.4439542020483367E-2</v>
      </c>
      <c r="E27" s="15">
        <f t="shared" si="6"/>
        <v>4.5960112503196114E-2</v>
      </c>
      <c r="F27" s="15">
        <f t="shared" si="6"/>
        <v>1.9459610807783845E-2</v>
      </c>
      <c r="G27" s="15">
        <f t="shared" si="6"/>
        <v>-7.2536549424128433E-2</v>
      </c>
      <c r="H27" s="15">
        <f t="shared" si="6"/>
        <v>-4.2346453074221184E-2</v>
      </c>
      <c r="I27" s="15">
        <f t="shared" si="6"/>
        <v>-3.7734658861526042E-2</v>
      </c>
      <c r="J27" s="15">
        <f t="shared" si="6"/>
        <v>-2.7672190968526685E-2</v>
      </c>
      <c r="K27" s="15">
        <f t="shared" si="6"/>
        <v>-1.3936817024073617E-2</v>
      </c>
      <c r="L27" s="15">
        <f t="shared" si="6"/>
        <v>1.5238745642385788E-2</v>
      </c>
      <c r="M27" s="15">
        <f t="shared" si="6"/>
        <v>2.5315677901010785E-2</v>
      </c>
      <c r="N27" s="15">
        <f t="shared" si="6"/>
        <v>4.7815491587168246E-2</v>
      </c>
      <c r="O27" s="15">
        <f t="shared" si="6"/>
        <v>6.676458806249165E-2</v>
      </c>
      <c r="P27" s="15">
        <f t="shared" si="6"/>
        <v>6.1697108066971082E-2</v>
      </c>
      <c r="Q27" s="15">
        <f t="shared" si="6"/>
        <v>3.4710612607338986E-2</v>
      </c>
      <c r="R27" s="15">
        <f t="shared" si="6"/>
        <v>5.2497103176918782E-2</v>
      </c>
      <c r="S27" s="15">
        <f t="shared" si="6"/>
        <v>3.3860898893402686E-2</v>
      </c>
      <c r="T27" s="15">
        <f t="shared" si="6"/>
        <v>7.1221071406496958E-2</v>
      </c>
      <c r="U27" s="15">
        <f t="shared" si="6"/>
        <v>5.0039238417740772E-2</v>
      </c>
    </row>
    <row r="28" spans="1:21">
      <c r="A28" s="5" t="s">
        <v>167</v>
      </c>
      <c r="B28" s="15">
        <f t="shared" ref="B28:U28" si="7">B12</f>
        <v>2.4131664378324934E-2</v>
      </c>
      <c r="C28" s="15">
        <f t="shared" si="7"/>
        <v>2.0234818183200765E-2</v>
      </c>
      <c r="D28" s="15">
        <f t="shared" si="7"/>
        <v>2.3813548623162203E-2</v>
      </c>
      <c r="E28" s="15">
        <f t="shared" si="7"/>
        <v>2.8598055697682919E-2</v>
      </c>
      <c r="F28" s="15">
        <f t="shared" si="7"/>
        <v>2.571508117517696E-2</v>
      </c>
      <c r="G28" s="15">
        <f t="shared" si="7"/>
        <v>6.3255175753662379E-2</v>
      </c>
      <c r="H28" s="15">
        <f t="shared" si="7"/>
        <v>3.2854931757422259E-3</v>
      </c>
      <c r="I28" s="15">
        <f t="shared" si="7"/>
        <v>3.2230509604566858E-3</v>
      </c>
      <c r="J28" s="15">
        <f t="shared" si="7"/>
        <v>1.2138664548303103E-2</v>
      </c>
      <c r="K28" s="15">
        <f t="shared" si="7"/>
        <v>1.1585053876367105E-2</v>
      </c>
      <c r="L28" s="15">
        <f t="shared" si="7"/>
        <v>1.2085071897142733E-2</v>
      </c>
      <c r="M28" s="15">
        <f t="shared" si="7"/>
        <v>1.7894754422656173E-2</v>
      </c>
      <c r="N28" s="15">
        <f t="shared" si="7"/>
        <v>2.3915291655563081E-2</v>
      </c>
      <c r="O28" s="15">
        <f t="shared" si="7"/>
        <v>2.141460713518889E-2</v>
      </c>
      <c r="P28" s="15">
        <f t="shared" si="7"/>
        <v>2.1269380358410785E-2</v>
      </c>
      <c r="Q28" s="15">
        <f t="shared" si="7"/>
        <v>1.1078131864763519E-2</v>
      </c>
      <c r="R28" s="15">
        <f t="shared" si="7"/>
        <v>1.9299596378193815E-2</v>
      </c>
      <c r="S28" s="15">
        <f t="shared" si="7"/>
        <v>2.5157159154991802E-2</v>
      </c>
      <c r="T28" s="15">
        <f t="shared" si="7"/>
        <v>4.439160290810662E-2</v>
      </c>
      <c r="U28" s="15">
        <f t="shared" si="7"/>
        <v>3.3874646703588286E-2</v>
      </c>
    </row>
    <row r="29" spans="1:21">
      <c r="A29" s="5" t="s">
        <v>171</v>
      </c>
      <c r="B29" s="15" t="str">
        <f t="shared" ref="B29:U29" si="8">B16</f>
        <v/>
      </c>
      <c r="C29" s="15">
        <f t="shared" si="8"/>
        <v>2.4842177838105703E-2</v>
      </c>
      <c r="D29" s="15">
        <f t="shared" si="8"/>
        <v>2.2697411311595438E-2</v>
      </c>
      <c r="E29" s="15">
        <f t="shared" si="8"/>
        <v>3.1530666154363382E-2</v>
      </c>
      <c r="F29" s="15">
        <f t="shared" si="8"/>
        <v>2.3796991881589232E-2</v>
      </c>
      <c r="G29" s="15">
        <f t="shared" si="8"/>
        <v>-3.2210109018830525E-3</v>
      </c>
      <c r="H29" s="15">
        <f t="shared" si="8"/>
        <v>-3.7450999449250011E-2</v>
      </c>
      <c r="I29" s="15">
        <f t="shared" si="8"/>
        <v>-2.5061464033626774E-2</v>
      </c>
      <c r="J29" s="15">
        <f t="shared" si="8"/>
        <v>-1.8621246451545694E-2</v>
      </c>
      <c r="K29" s="15">
        <f t="shared" si="8"/>
        <v>-1.4684182969203674E-2</v>
      </c>
      <c r="L29" s="15">
        <f t="shared" si="8"/>
        <v>7.9058870445142312E-3</v>
      </c>
      <c r="M29" s="15">
        <f t="shared" si="8"/>
        <v>2.3704803792768607E-3</v>
      </c>
      <c r="N29" s="15">
        <f t="shared" si="8"/>
        <v>8.3689509090737538E-3</v>
      </c>
      <c r="O29" s="15">
        <f t="shared" si="8"/>
        <v>1.7094017094017096E-2</v>
      </c>
      <c r="P29" s="15">
        <f t="shared" si="8"/>
        <v>1.5420583507866154E-2</v>
      </c>
      <c r="Q29" s="15">
        <f t="shared" si="8"/>
        <v>1.7402302458479121E-2</v>
      </c>
      <c r="R29" s="15">
        <f t="shared" si="8"/>
        <v>2.33847637415622E-2</v>
      </c>
      <c r="S29" s="15">
        <f t="shared" si="8"/>
        <v>2.021035742248518E-2</v>
      </c>
      <c r="T29" s="15">
        <f t="shared" si="8"/>
        <v>2.940787452640202E-2</v>
      </c>
      <c r="U29" s="15">
        <f t="shared" si="8"/>
        <v>2.7087605284207415E-2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README</vt:lpstr>
      <vt:lpstr>연간_10년</vt:lpstr>
      <vt:lpstr>SK하이닉스_분기</vt:lpstr>
      <vt:lpstr>삼성전자_분기</vt:lpstr>
      <vt:lpstr>마이크론_분기</vt:lpstr>
      <vt:lpstr>그래프_연간</vt:lpstr>
      <vt:lpstr>그래프_분기</vt:lpstr>
      <vt:lpstr>연간_10년!Print_Area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2026-08-07T07:54:57Z</dcterms:created>
  <dcterms:modified xsi:type="dcterms:W3CDTF">2026-08-07T14:11:18Z</dcterms:modified>
</cp:coreProperties>
</file>