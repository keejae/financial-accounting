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2145" windowWidth="29040" windowHeight="15195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연간_10년" sheetId="2" state="visible" r:id="rId2"/>
    <sheet xmlns:r="http://schemas.openxmlformats.org/officeDocument/2006/relationships" name="SK하이닉스_분기" sheetId="3" state="visible" r:id="rId3"/>
    <sheet xmlns:r="http://schemas.openxmlformats.org/officeDocument/2006/relationships" name="삼성전자_분기" sheetId="4" state="visible" r:id="rId4"/>
    <sheet xmlns:r="http://schemas.openxmlformats.org/officeDocument/2006/relationships" name="마이크론_분기" sheetId="5" state="visible" r:id="rId5"/>
    <sheet xmlns:r="http://schemas.openxmlformats.org/officeDocument/2006/relationships" name="그래프_연간" sheetId="6" state="visible" r:id="rId6"/>
    <sheet xmlns:r="http://schemas.openxmlformats.org/officeDocument/2006/relationships" name="그래프_분기" sheetId="7" state="visible" r:id="rId7"/>
    <sheet xmlns:r="http://schemas.openxmlformats.org/officeDocument/2006/relationships" name="그래프_GPM_3사" sheetId="8" state="visible" r:id="rId8"/>
  </sheets>
  <definedNames>
    <definedName name="_xlnm.Print_Area" localSheetId="1">'연간_10년'!$A$1:$AH$24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0.0%"/>
  </numFmts>
  <fonts count="24">
    <font>
      <name val="Calibri"/>
      <family val="2"/>
      <color theme="1"/>
      <sz val="11"/>
      <scheme val="minor"/>
    </font>
    <font>
      <name val="Noto Sans CJK SC"/>
      <b val="1"/>
      <color rgb="FF1F4899"/>
      <sz val="14"/>
    </font>
    <font>
      <name val="Noto Sans CJK SC"/>
      <color rgb="FF666666"/>
      <sz val="9"/>
    </font>
    <font>
      <name val="Noto Sans CJK SC"/>
      <b val="1"/>
      <color rgb="FF1F4899"/>
      <sz val="11"/>
    </font>
    <font>
      <name val="Noto Sans CJK SC"/>
      <b val="1"/>
      <sz val="10"/>
    </font>
    <font>
      <name val="Noto Sans CJK SC"/>
      <sz val="10"/>
    </font>
    <font>
      <name val="Arial"/>
      <b val="1"/>
      <color rgb="FF1F4899"/>
      <sz val="10"/>
    </font>
    <font>
      <name val="Arial"/>
      <color rgb="FF0000FF"/>
      <sz val="10"/>
    </font>
    <font>
      <name val="Noto Sans CJK SC"/>
      <b val="1"/>
      <color rgb="FFFFFFFF"/>
      <sz val="10"/>
    </font>
    <font>
      <name val="Arial"/>
      <b val="1"/>
      <color rgb="FFFFFFFF"/>
      <sz val="9"/>
    </font>
    <font>
      <name val="Arial"/>
      <b val="1"/>
      <sz val="9"/>
    </font>
    <font>
      <name val="Arial"/>
      <color rgb="FF1F7A3D"/>
      <sz val="10"/>
    </font>
    <font>
      <name val="Arial"/>
      <sz val="10"/>
    </font>
    <font>
      <name val="Arial"/>
      <color rgb="FF666666"/>
      <sz val="10"/>
    </font>
    <font>
      <name val="맑은 고딕"/>
      <b val="1"/>
      <color rgb="001F4899"/>
      <sz val="14"/>
    </font>
    <font>
      <name val="맑은 고딕"/>
      <color rgb="00595959"/>
      <sz val="9.5"/>
    </font>
    <font>
      <name val="맑은 고딕"/>
      <color rgb="00B45309"/>
      <sz val="9.5"/>
    </font>
    <font>
      <name val="맑은 고딕"/>
      <b val="1"/>
      <color rgb="001F4899"/>
      <sz val="11"/>
    </font>
    <font>
      <name val="맑은 고딕"/>
      <b val="1"/>
      <color rgb="00FFFFFF"/>
      <sz val="9.5"/>
    </font>
    <font>
      <name val="맑은 고딕"/>
      <b val="1"/>
      <color rgb="00FFFFFF"/>
      <sz val="9"/>
    </font>
    <font>
      <name val="맑은 고딕"/>
      <sz val="10"/>
    </font>
    <font>
      <name val="Calibri"/>
      <color rgb="00008000"/>
      <sz val="10"/>
    </font>
    <font>
      <name val="맑은 고딕"/>
      <i val="1"/>
      <color rgb="00595959"/>
      <sz val="9"/>
    </font>
    <font>
      <name val="맑은 고딕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FFEAF0FB"/>
      </patternFill>
    </fill>
    <fill>
      <patternFill patternType="solid">
        <fgColor rgb="FFFFFF00"/>
      </patternFill>
    </fill>
    <fill>
      <patternFill patternType="solid">
        <fgColor rgb="FF1F4899"/>
      </patternFill>
    </fill>
    <fill>
      <patternFill patternType="solid">
        <fgColor rgb="001F4899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bottom style="thin">
        <color rgb="00B9C4D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4" fontId="7" fillId="3" borderId="0" applyAlignment="1" pivotButton="0" quotePrefix="0" xfId="0">
      <alignment horizontal="right"/>
    </xf>
    <xf numFmtId="0" fontId="8" fillId="4" borderId="0" pivotButton="0" quotePrefix="0" xfId="0"/>
    <xf numFmtId="0" fontId="9" fillId="4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2" fontId="12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2" fontId="11" fillId="0" borderId="0" applyAlignment="1" pivotButton="0" quotePrefix="0" xfId="0">
      <alignment horizontal="right"/>
    </xf>
    <xf numFmtId="4" fontId="1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0" borderId="0" pivotButton="0" quotePrefix="0" xfId="0"/>
    <xf numFmtId="165" fontId="21" fillId="0" borderId="0" applyAlignment="1" pivotButton="0" quotePrefix="0" xfId="0">
      <alignment horizontal="center"/>
    </xf>
    <xf numFmtId="0" fontId="20" fillId="6" borderId="0" pivotButton="0" quotePrefix="0" xfId="0"/>
    <xf numFmtId="165" fontId="21" fillId="6" borderId="0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메모리 3사 분기 Gross Profit Margin (영업이익 ÷ 매출액), 2021Q3~2026Q2</a:t>
            </a:r>
          </a:p>
        </rich>
      </tx>
    </title>
    <plotArea>
      <lineChart>
        <grouping val="standard"/>
        <ser>
          <idx val="0"/>
          <order val="0"/>
          <tx>
            <strRef>
              <f>'그래프_GPM_3사'!A8</f>
            </strRef>
          </tx>
          <spPr>
            <a:ln xmlns:a="http://schemas.openxmlformats.org/drawingml/2006/main" w="28000">
              <a:solidFill>
                <a:srgbClr val="1F489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899"/>
              </a:solidFill>
              <a:ln xmlns:a="http://schemas.openxmlformats.org/drawingml/2006/main">
                <a:solidFill>
                  <a:srgbClr val="1F4899"/>
                </a:solidFill>
                <a:prstDash val="solid"/>
              </a:ln>
            </spPr>
          </marker>
          <cat>
            <numRef>
              <f>'그래프_GPM_3사'!$B$7:$U$7</f>
            </numRef>
          </cat>
          <val>
            <numRef>
              <f>'그래프_GPM_3사'!$B$8:$U$8</f>
            </numRef>
          </val>
          <smooth val="0"/>
        </ser>
        <ser>
          <idx val="1"/>
          <order val="1"/>
          <tx>
            <strRef>
              <f>'그래프_GPM_3사'!A9</f>
            </strRef>
          </tx>
          <spPr>
            <a:ln xmlns:a="http://schemas.openxmlformats.org/drawingml/2006/main" w="28000">
              <a:solidFill>
                <a:srgbClr val="E2711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2711D"/>
              </a:solidFill>
              <a:ln xmlns:a="http://schemas.openxmlformats.org/drawingml/2006/main">
                <a:solidFill>
                  <a:srgbClr val="E2711D"/>
                </a:solidFill>
                <a:prstDash val="solid"/>
              </a:ln>
            </spPr>
          </marker>
          <cat>
            <numRef>
              <f>'그래프_GPM_3사'!$B$7:$U$7</f>
            </numRef>
          </cat>
          <val>
            <numRef>
              <f>'그래프_GPM_3사'!$B$9:$U$9</f>
            </numRef>
          </val>
          <smooth val="0"/>
        </ser>
        <ser>
          <idx val="2"/>
          <order val="2"/>
          <tx>
            <strRef>
              <f>'그래프_GPM_3사'!A10</f>
            </strRef>
          </tx>
          <spPr>
            <a:ln xmlns:a="http://schemas.openxmlformats.org/drawingml/2006/main" w="28000">
              <a:solidFill>
                <a:srgbClr val="6A3D9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6A3D9A"/>
              </a:solidFill>
              <a:ln xmlns:a="http://schemas.openxmlformats.org/drawingml/2006/main">
                <a:solidFill>
                  <a:srgbClr val="6A3D9A"/>
                </a:solidFill>
                <a:prstDash val="solid"/>
              </a:ln>
            </spPr>
          </marker>
          <cat>
            <numRef>
              <f>'그래프_GPM_3사'!$B$7:$U$7</f>
            </numRef>
          </cat>
          <val>
            <numRef>
              <f>'그래프_GPM_3사'!$B$10:$U$10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11520000" cy="48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tabSelected="1" workbookViewId="0">
      <selection activeCell="B15" sqref="B15"/>
    </sheetView>
  </sheetViews>
  <sheetFormatPr baseColWidth="8" defaultRowHeight="14.5"/>
  <cols>
    <col width="38" customWidth="1" style="20" min="1" max="1"/>
    <col width="104" customWidth="1" style="20" min="2" max="2"/>
  </cols>
  <sheetData>
    <row r="1" ht="18" customHeight="1" s="20">
      <c r="A1" s="1" t="inlineStr">
        <is>
          <t>메모리 3사 핵심지표 — 10년 (Memory Big 3 — 10-Year Key Metrics)</t>
        </is>
      </c>
    </row>
    <row r="2">
      <c r="A2" s="2" t="inlineStr">
        <is>
          <t>2026년 8월 7일 작성 · KAIST 경영대학</t>
        </is>
      </c>
    </row>
    <row r="4">
      <c r="A4" s="3" t="inlineStr">
        <is>
          <t>탭 구성 (Tabs)</t>
        </is>
      </c>
    </row>
    <row r="5">
      <c r="A5" s="4" t="inlineStr">
        <is>
          <t>연간_10년</t>
        </is>
      </c>
      <c r="B5" s="5" t="inlineStr">
        <is>
          <t>2016~2025년 연간, 3사 한 페이지 비교. 연말 시가총액과 PE ratio 포함. ★ 10년 전체 채워져 있습니다.</t>
        </is>
      </c>
    </row>
    <row r="6">
      <c r="A6" s="4" t="inlineStr">
        <is>
          <t>SK하이닉스_분기</t>
        </is>
      </c>
      <c r="B6" s="5" t="inlineStr">
        <is>
          <t>2016Q3~2026Q2 (40개 분기 칸).</t>
        </is>
      </c>
    </row>
    <row r="7">
      <c r="A7" s="4" t="inlineStr">
        <is>
          <t>삼성전자_분기</t>
        </is>
      </c>
      <c r="B7" s="5" t="inlineStr">
        <is>
          <t>동일.</t>
        </is>
      </c>
    </row>
    <row r="8">
      <c r="A8" s="4" t="inlineStr">
        <is>
          <t>마이크론_분기</t>
        </is>
      </c>
      <c r="B8" s="5" t="inlineStr">
        <is>
          <t>동일. ★ 40개 분기 전체 채워져 있습니다.</t>
        </is>
      </c>
    </row>
    <row r="9">
      <c r="A9" s="4" t="inlineStr">
        <is>
          <t>그래프_연간</t>
        </is>
      </c>
      <c r="B9" s="5" t="inlineStr">
        <is>
          <t>연간 데이터 그래프 6개.</t>
        </is>
      </c>
    </row>
    <row r="10">
      <c r="A10" s="4" t="inlineStr">
        <is>
          <t>그래프_분기</t>
        </is>
      </c>
      <c r="B10" s="5" t="inlineStr">
        <is>
          <t>분기 데이터 그래프 6개.</t>
        </is>
      </c>
    </row>
    <row r="12">
      <c r="A12" s="3" t="inlineStr">
        <is>
          <t>★ 데이터 적용 범위 (Coverage)</t>
        </is>
      </c>
    </row>
    <row r="13">
      <c r="A13" s="4" t="inlineStr">
        <is>
          <t>연간 2016~2025</t>
        </is>
      </c>
      <c r="B13" s="5" t="inlineStr">
        <is>
          <t>3사 모두 10년 전체 완비. 전부 감사받은 재무제표에서 직접 옮겼습니다.</t>
        </is>
      </c>
    </row>
    <row r="14">
      <c r="A14" s="4" t="inlineStr">
        <is>
          <t>분기 — 마이크론</t>
        </is>
      </c>
      <c r="B14" s="5" t="inlineStr">
        <is>
          <t>2016Q3~2026Q2 전체 40개 분기 완비 (SEC XBRL).</t>
        </is>
      </c>
    </row>
    <row r="15">
      <c r="A15" s="4" t="inlineStr">
        <is>
          <t>분기 — 한국 2사</t>
        </is>
      </c>
      <c r="B15" s="5" t="inlineStr">
        <is>
          <t>2021Q3~2026Q2 (최근 20개 분기)만 채워져 있습니다. 그 이전 20개 분기는 분기별 원자료를 검증하지 못해 비워 두었습니다 — 추측값은 넣지 않았습니다.</t>
        </is>
      </c>
    </row>
    <row r="16">
      <c r="A16" s="4" t="inlineStr">
        <is>
          <t>나머지를 채우려면</t>
        </is>
      </c>
      <c r="B16" s="5" t="inlineStr">
        <is>
          <t>DART 전자공시의 분기보고서에서 확인해 파란색 칸에 입력하면 비율·US$ 환산·그래프가 자동으로 채워집니다. 그래프 범위는 이미 40개 분기 전체로 잡혀 있습니다.</t>
        </is>
      </c>
    </row>
    <row r="17">
      <c r="A17" s="4" t="inlineStr">
        <is>
          <t>분기 시가총액</t>
        </is>
      </c>
      <c r="B17" s="5" t="inlineStr">
        <is>
          <t>3사 모두 최근 20개 분기만 있습니다. 연간 시가총액은 10년 전체가 있습니다.</t>
        </is>
      </c>
    </row>
    <row r="19">
      <c r="A19" s="3" t="inlineStr">
        <is>
          <t>출처 (Sources) — 전부 1차 자료</t>
        </is>
      </c>
    </row>
    <row r="20">
      <c r="A20" s="4" t="inlineStr">
        <is>
          <t>SK하이닉스 연간</t>
        </is>
      </c>
      <c r="B20" s="5" t="inlineStr">
        <is>
          <t>감사받은 연결재무제표 (2016·2018·2020년 보고서가 각각 2개 연도를 포함) + 2021~25년 공시 재무제표 / SEC Form 424B4.</t>
        </is>
      </c>
    </row>
    <row r="21">
      <c r="A21" s="4" t="inlineStr">
        <is>
          <t>삼성전자 연간</t>
        </is>
      </c>
      <c r="B21" s="5" t="inlineStr">
        <is>
          <t>Samsung IR 감사받은 연결재무제표 (K-IFRS). images.samsung.com/.../[연도]_con_quarter04_{bs,soi}.pdf</t>
        </is>
      </c>
    </row>
    <row r="22">
      <c r="A22" s="4" t="inlineStr">
        <is>
          <t>마이크론 연간·분기</t>
        </is>
      </c>
      <c r="B22" s="5" t="inlineStr">
        <is>
          <t>SEC XBRL company facts (10-K/10-Q), CIK 0000723125. 회계 4분기 손익은 연간에서 1~3분기를 차감해 산출했습니다.</t>
        </is>
      </c>
    </row>
    <row r="23">
      <c r="A23" s="4" t="inlineStr">
        <is>
          <t>한국 2사 분기</t>
        </is>
      </c>
      <c r="B23" s="5" t="inlineStr">
        <is>
          <t>stockanalysis.com 분기 데이터 (KRX:000660 · KRX:005930), 2026년 8월 조회.</t>
        </is>
      </c>
    </row>
    <row r="24">
      <c r="A24" s="4" t="inlineStr">
        <is>
          <t>시가총액 (연간)</t>
        </is>
      </c>
      <c r="B24" s="5" t="inlineStr">
        <is>
          <t>companiesmarketcap.com, 달력 연말 기준 US$.</t>
        </is>
      </c>
    </row>
    <row r="26">
      <c r="A26" s="3" t="inlineStr">
        <is>
          <t>⚠ 이전 워크북에서 정정된 수치</t>
        </is>
      </c>
    </row>
    <row r="27">
      <c r="A27" s="4" t="inlineStr">
        <is>
          <t>SK하이닉스</t>
        </is>
      </c>
      <c r="B27" s="5" t="inlineStr">
        <is>
          <t>기존 FCFF 워크북의 2016~2020년 수치 일부가 틀렸습니다. 감사보고서 기준으로 정정: 2017년 자산총계 40,289 → 45,418 · 2019년 71,299 → 65,248 · 2020년 85,284 → 71,174 (십억 원). 매출총이익도 여러 해가 달랐습니다.</t>
        </is>
      </c>
    </row>
    <row r="29">
      <c r="A29" s="3" t="inlineStr">
        <is>
          <t>정의 (Definitions) — 요청하신 정의를 그대로 사용했습니다</t>
        </is>
      </c>
    </row>
    <row r="30">
      <c r="A30" s="4" t="inlineStr">
        <is>
          <t>Gross profit margin</t>
        </is>
      </c>
      <c r="B30" s="5" t="inlineStr">
        <is>
          <t>영업이익 ÷ 매출액. 교과서에서는 보통 영업이익률(operating margin)이라 부릅니다. 교과서상 매출총이익률은 «참고» 행에 따로 있습니다.</t>
        </is>
      </c>
    </row>
    <row r="31">
      <c r="A31" s="4" t="inlineStr">
        <is>
          <t>PE ratio</t>
        </is>
      </c>
      <c r="B31" s="5" t="inlineStr">
        <is>
          <t>당기순이익 ÷ 시가총액. 통상적 P/E의 역수(이익수익률)입니다. 통상적 P/E는 «참고» 행에 있습니다.</t>
        </is>
      </c>
    </row>
    <row r="33">
      <c r="A33" s="3" t="inlineStr">
        <is>
          <t>주의 (Caveats)</t>
        </is>
      </c>
    </row>
    <row r="34">
      <c r="A34" s="4" t="inlineStr">
        <is>
          <t>마이크론 회계연도</t>
        </is>
      </c>
      <c r="B34" s="5" t="inlineStr">
        <is>
          <t>8~9월에 종료됩니다. 12월 결산인 한국 2사와 정확히 같은 기간이 아닙니다. 연말 시가총액은 3사 모두 달력 12월 말 기준이므로, 마이크론은 회계연도 종료 후 약 4개월 뒤 시점입니다.</t>
        </is>
      </c>
    </row>
    <row r="35">
      <c r="A35" s="4" t="inlineStr">
        <is>
          <t>환율</t>
        </is>
      </c>
      <c r="B35" s="5" t="inlineStr">
        <is>
          <t>연간은 평균환율(손익)·기말환율(재무상태표), 분기는 기말환율입니다. 모두 파란색 입력 칸이니 필요하면 바꾸십시오. 분기 환율 2021~2025년은 해당 연도 기말환율을 4개 분기에 공통 적용한 근사치입니다.</t>
        </is>
      </c>
    </row>
    <row r="36">
      <c r="A36" s="4" t="inlineStr">
        <is>
          <t>마이크론 4분기</t>
        </is>
      </c>
      <c r="B36" s="5" t="inlineStr">
        <is>
          <t>회계 4분기 손익은 연간에서 1~3분기를 뺀 값입니다(SEC에 별도 공시되지 않음). 해당 분기: 2021Q3, 2022Q3, 2023Q3, 2024Q3, 2025Q3.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51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K27" sqref="K27"/>
    </sheetView>
  </sheetViews>
  <sheetFormatPr baseColWidth="8" defaultRowHeight="14.5"/>
  <cols>
    <col width="44" customWidth="1" style="20" min="1" max="1"/>
    <col width="10" customWidth="1" style="20" min="2" max="34"/>
  </cols>
  <sheetData>
    <row r="1" ht="18" customHeight="1" s="20">
      <c r="A1" s="1" t="inlineStr">
        <is>
          <t>메모리 3사 핵심지표 — 연간 10년 (2016~2025)</t>
        </is>
      </c>
    </row>
    <row r="2">
      <c r="A2" s="2" t="inlineStr">
        <is>
          <t>전부 감사받은 재무제표 기준. 파란색 = 입력값, 초록색 = 수식, 노란색 = 환율 가정.</t>
        </is>
      </c>
    </row>
    <row r="4">
      <c r="A4" s="3" t="inlineStr">
        <is>
          <t>환율 가정 (FX assumptions)</t>
        </is>
      </c>
      <c r="B4" s="6" t="inlineStr">
        <is>
          <t>2016</t>
        </is>
      </c>
      <c r="C4" s="6" t="inlineStr">
        <is>
          <t>2017</t>
        </is>
      </c>
      <c r="D4" s="6" t="inlineStr">
        <is>
          <t>2018</t>
        </is>
      </c>
      <c r="E4" s="6" t="inlineStr">
        <is>
          <t>2019</t>
        </is>
      </c>
      <c r="F4" s="6" t="inlineStr">
        <is>
          <t>2020</t>
        </is>
      </c>
      <c r="G4" s="6" t="inlineStr">
        <is>
          <t>2021</t>
        </is>
      </c>
      <c r="H4" s="6" t="inlineStr">
        <is>
          <t>2022</t>
        </is>
      </c>
      <c r="I4" s="6" t="inlineStr">
        <is>
          <t>2023</t>
        </is>
      </c>
      <c r="J4" s="6" t="inlineStr">
        <is>
          <t>2024</t>
        </is>
      </c>
      <c r="K4" s="6" t="inlineStr">
        <is>
          <t>2025</t>
        </is>
      </c>
    </row>
    <row r="5">
      <c r="A5" s="5" t="inlineStr">
        <is>
          <t>평균환율 · 손익계산서 환산용 (Average KRW/USD)</t>
        </is>
      </c>
      <c r="B5" s="7" t="n">
        <v>1160.4</v>
      </c>
      <c r="C5" s="7" t="n">
        <v>1130.4</v>
      </c>
      <c r="D5" s="7" t="n">
        <v>1100.6</v>
      </c>
      <c r="E5" s="7" t="n">
        <v>1165.7</v>
      </c>
      <c r="F5" s="7" t="n">
        <v>1180.3</v>
      </c>
      <c r="G5" s="7" t="n">
        <v>1144.46</v>
      </c>
      <c r="H5" s="7" t="n">
        <v>1291.41</v>
      </c>
      <c r="I5" s="7" t="n">
        <v>1306.01</v>
      </c>
      <c r="J5" s="7" t="n">
        <v>1363.53</v>
      </c>
      <c r="K5" s="7" t="n">
        <v>1422.16</v>
      </c>
    </row>
    <row r="6">
      <c r="A6" s="5" t="inlineStr">
        <is>
          <t>기말환율 · 재무상태표 환산용 (Year-end KRW/USD)</t>
        </is>
      </c>
      <c r="B6" s="7" t="n">
        <v>1207.7</v>
      </c>
      <c r="C6" s="7" t="n">
        <v>1071.4</v>
      </c>
      <c r="D6" s="7" t="n">
        <v>1118.1</v>
      </c>
      <c r="E6" s="7" t="n">
        <v>1156.4</v>
      </c>
      <c r="F6" s="7" t="n">
        <v>1086.3</v>
      </c>
      <c r="G6" s="7" t="n">
        <v>1188.8</v>
      </c>
      <c r="H6" s="7" t="n">
        <v>1267.3</v>
      </c>
      <c r="I6" s="7" t="n">
        <v>1288</v>
      </c>
      <c r="J6" s="7" t="n">
        <v>1470</v>
      </c>
      <c r="K6" s="7" t="n">
        <v>1439</v>
      </c>
    </row>
    <row r="8">
      <c r="B8" s="19" t="inlineStr">
        <is>
          <t>SK하이닉스 (SK hynix)</t>
        </is>
      </c>
      <c r="M8" s="19" t="inlineStr">
        <is>
          <t>삼성전자 (Samsung Electronics)</t>
        </is>
      </c>
      <c r="X8" s="19" t="inlineStr">
        <is>
          <t>마이크론 (Micron Technology)</t>
        </is>
      </c>
    </row>
    <row r="9">
      <c r="A9" s="8" t="inlineStr">
        <is>
          <t>항목 (Metric)</t>
        </is>
      </c>
      <c r="B9" s="9" t="inlineStr">
        <is>
          <t>2016</t>
        </is>
      </c>
      <c r="C9" s="9" t="inlineStr">
        <is>
          <t>2017</t>
        </is>
      </c>
      <c r="D9" s="9" t="inlineStr">
        <is>
          <t>2018</t>
        </is>
      </c>
      <c r="E9" s="9" t="inlineStr">
        <is>
          <t>2019</t>
        </is>
      </c>
      <c r="F9" s="9" t="inlineStr">
        <is>
          <t>2020</t>
        </is>
      </c>
      <c r="G9" s="9" t="inlineStr">
        <is>
          <t>2021</t>
        </is>
      </c>
      <c r="H9" s="9" t="inlineStr">
        <is>
          <t>2022</t>
        </is>
      </c>
      <c r="I9" s="9" t="inlineStr">
        <is>
          <t>2023</t>
        </is>
      </c>
      <c r="J9" s="9" t="inlineStr">
        <is>
          <t>2024</t>
        </is>
      </c>
      <c r="K9" s="9" t="inlineStr">
        <is>
          <t>2025</t>
        </is>
      </c>
      <c r="M9" s="9" t="inlineStr">
        <is>
          <t>2016</t>
        </is>
      </c>
      <c r="N9" s="9" t="inlineStr">
        <is>
          <t>2017</t>
        </is>
      </c>
      <c r="O9" s="9" t="inlineStr">
        <is>
          <t>2018</t>
        </is>
      </c>
      <c r="P9" s="9" t="inlineStr">
        <is>
          <t>2019</t>
        </is>
      </c>
      <c r="Q9" s="9" t="inlineStr">
        <is>
          <t>2020</t>
        </is>
      </c>
      <c r="R9" s="9" t="inlineStr">
        <is>
          <t>2021</t>
        </is>
      </c>
      <c r="S9" s="9" t="inlineStr">
        <is>
          <t>2022</t>
        </is>
      </c>
      <c r="T9" s="9" t="inlineStr">
        <is>
          <t>2023</t>
        </is>
      </c>
      <c r="U9" s="9" t="inlineStr">
        <is>
          <t>2024</t>
        </is>
      </c>
      <c r="V9" s="9" t="inlineStr">
        <is>
          <t>2025</t>
        </is>
      </c>
      <c r="X9" s="9" t="inlineStr">
        <is>
          <t>FY16</t>
        </is>
      </c>
      <c r="Y9" s="9" t="inlineStr">
        <is>
          <t>FY17</t>
        </is>
      </c>
      <c r="Z9" s="9" t="inlineStr">
        <is>
          <t>FY18</t>
        </is>
      </c>
      <c r="AA9" s="9" t="inlineStr">
        <is>
          <t>FY19</t>
        </is>
      </c>
      <c r="AB9" s="9" t="inlineStr">
        <is>
          <t>FY20</t>
        </is>
      </c>
      <c r="AC9" s="9" t="inlineStr">
        <is>
          <t>FY21</t>
        </is>
      </c>
      <c r="AD9" s="9" t="inlineStr">
        <is>
          <t>FY22</t>
        </is>
      </c>
      <c r="AE9" s="9" t="inlineStr">
        <is>
          <t>FY23</t>
        </is>
      </c>
      <c r="AF9" s="9" t="inlineStr">
        <is>
          <t>FY24</t>
        </is>
      </c>
      <c r="AG9" s="9" t="inlineStr">
        <is>
          <t>FY25</t>
        </is>
      </c>
    </row>
    <row r="10">
      <c r="A10" s="5" t="inlineStr">
        <is>
          <t>매출액 (Revenue, US$m)</t>
        </is>
      </c>
      <c r="B10" s="10">
        <f>IF(B27="","",B27*1000/B5)</f>
        <v/>
      </c>
      <c r="C10" s="10">
        <f>IF(C27="","",C27*1000/C5)</f>
        <v/>
      </c>
      <c r="D10" s="10">
        <f>IF(D27="","",D27*1000/D5)</f>
        <v/>
      </c>
      <c r="E10" s="10">
        <f>IF(E27="","",E27*1000/E5)</f>
        <v/>
      </c>
      <c r="F10" s="10">
        <f>IF(F27="","",F27*1000/F5)</f>
        <v/>
      </c>
      <c r="G10" s="10">
        <f>IF(G27="","",G27*1000/G5)</f>
        <v/>
      </c>
      <c r="H10" s="10">
        <f>IF(H27="","",H27*1000/H5)</f>
        <v/>
      </c>
      <c r="I10" s="10">
        <f>IF(I27="","",I27*1000/I5)</f>
        <v/>
      </c>
      <c r="J10" s="10">
        <f>IF(J27="","",J27*1000/J5)</f>
        <v/>
      </c>
      <c r="K10" s="10">
        <f>IF(K27="","",K27*1000/K5)</f>
        <v/>
      </c>
      <c r="M10" s="10">
        <f>IF(B36="","",B36*1000/B5)</f>
        <v/>
      </c>
      <c r="N10" s="10">
        <f>IF(C36="","",C36*1000/C5)</f>
        <v/>
      </c>
      <c r="O10" s="10">
        <f>IF(D36="","",D36*1000/D5)</f>
        <v/>
      </c>
      <c r="P10" s="10">
        <f>IF(E36="","",E36*1000/E5)</f>
        <v/>
      </c>
      <c r="Q10" s="10">
        <f>IF(F36="","",F36*1000/F5)</f>
        <v/>
      </c>
      <c r="R10" s="10">
        <f>IF(G36="","",G36*1000/G5)</f>
        <v/>
      </c>
      <c r="S10" s="10">
        <f>IF(H36="","",H36*1000/H5)</f>
        <v/>
      </c>
      <c r="T10" s="10">
        <f>IF(I36="","",I36*1000/I5)</f>
        <v/>
      </c>
      <c r="U10" s="10">
        <f>IF(J36="","",J36*1000/J5)</f>
        <v/>
      </c>
      <c r="V10" s="10">
        <f>IF(K36="","",K36*1000/K5)</f>
        <v/>
      </c>
      <c r="X10" s="10">
        <f>IF(B45="","",B45)</f>
        <v/>
      </c>
      <c r="Y10" s="10">
        <f>IF(C45="","",C45)</f>
        <v/>
      </c>
      <c r="Z10" s="10">
        <f>IF(D45="","",D45)</f>
        <v/>
      </c>
      <c r="AA10" s="10">
        <f>IF(E45="","",E45)</f>
        <v/>
      </c>
      <c r="AB10" s="10">
        <f>IF(F45="","",F45)</f>
        <v/>
      </c>
      <c r="AC10" s="10">
        <f>IF(G45="","",G45)</f>
        <v/>
      </c>
      <c r="AD10" s="10">
        <f>IF(H45="","",H45)</f>
        <v/>
      </c>
      <c r="AE10" s="10">
        <f>IF(I45="","",I45)</f>
        <v/>
      </c>
      <c r="AF10" s="10">
        <f>IF(J45="","",J45)</f>
        <v/>
      </c>
      <c r="AG10" s="10">
        <f>IF(K45="","",K45)</f>
        <v/>
      </c>
    </row>
    <row r="11">
      <c r="A11" s="5" t="inlineStr">
        <is>
          <t>영업이익 (Operating income, US$m)</t>
        </is>
      </c>
      <c r="B11" s="10">
        <f>IF(B29="","",B29*1000/B5)</f>
        <v/>
      </c>
      <c r="C11" s="10">
        <f>IF(C29="","",C29*1000/C5)</f>
        <v/>
      </c>
      <c r="D11" s="10">
        <f>IF(D29="","",D29*1000/D5)</f>
        <v/>
      </c>
      <c r="E11" s="10">
        <f>IF(E29="","",E29*1000/E5)</f>
        <v/>
      </c>
      <c r="F11" s="10">
        <f>IF(F29="","",F29*1000/F5)</f>
        <v/>
      </c>
      <c r="G11" s="10">
        <f>IF(G29="","",G29*1000/G5)</f>
        <v/>
      </c>
      <c r="H11" s="10">
        <f>IF(H29="","",H29*1000/H5)</f>
        <v/>
      </c>
      <c r="I11" s="10">
        <f>IF(I29="","",I29*1000/I5)</f>
        <v/>
      </c>
      <c r="J11" s="10">
        <f>IF(J29="","",J29*1000/J5)</f>
        <v/>
      </c>
      <c r="K11" s="10">
        <f>IF(K29="","",K29*1000/K5)</f>
        <v/>
      </c>
      <c r="M11" s="10">
        <f>IF(B38="","",B38*1000/B5)</f>
        <v/>
      </c>
      <c r="N11" s="10">
        <f>IF(C38="","",C38*1000/C5)</f>
        <v/>
      </c>
      <c r="O11" s="10">
        <f>IF(D38="","",D38*1000/D5)</f>
        <v/>
      </c>
      <c r="P11" s="10">
        <f>IF(E38="","",E38*1000/E5)</f>
        <v/>
      </c>
      <c r="Q11" s="10">
        <f>IF(F38="","",F38*1000/F5)</f>
        <v/>
      </c>
      <c r="R11" s="10">
        <f>IF(G38="","",G38*1000/G5)</f>
        <v/>
      </c>
      <c r="S11" s="10">
        <f>IF(H38="","",H38*1000/H5)</f>
        <v/>
      </c>
      <c r="T11" s="10">
        <f>IF(I38="","",I38*1000/I5)</f>
        <v/>
      </c>
      <c r="U11" s="10">
        <f>IF(J38="","",J38*1000/J5)</f>
        <v/>
      </c>
      <c r="V11" s="10">
        <f>IF(K38="","",K38*1000/K5)</f>
        <v/>
      </c>
      <c r="X11" s="10">
        <f>IF(B47="","",B47)</f>
        <v/>
      </c>
      <c r="Y11" s="10">
        <f>IF(C47="","",C47)</f>
        <v/>
      </c>
      <c r="Z11" s="10">
        <f>IF(D47="","",D47)</f>
        <v/>
      </c>
      <c r="AA11" s="10">
        <f>IF(E47="","",E47)</f>
        <v/>
      </c>
      <c r="AB11" s="10">
        <f>IF(F47="","",F47)</f>
        <v/>
      </c>
      <c r="AC11" s="10">
        <f>IF(G47="","",G47)</f>
        <v/>
      </c>
      <c r="AD11" s="10">
        <f>IF(H47="","",H47)</f>
        <v/>
      </c>
      <c r="AE11" s="10">
        <f>IF(I47="","",I47)</f>
        <v/>
      </c>
      <c r="AF11" s="10">
        <f>IF(J47="","",J47)</f>
        <v/>
      </c>
      <c r="AG11" s="10">
        <f>IF(K47="","",K47)</f>
        <v/>
      </c>
    </row>
    <row r="12">
      <c r="A12" s="5" t="inlineStr">
        <is>
          <t>당기순이익 (Net income, US$m)</t>
        </is>
      </c>
      <c r="B12" s="10">
        <f>IF(B30="","",B30*1000/B5)</f>
        <v/>
      </c>
      <c r="C12" s="10">
        <f>IF(C30="","",C30*1000/C5)</f>
        <v/>
      </c>
      <c r="D12" s="10">
        <f>IF(D30="","",D30*1000/D5)</f>
        <v/>
      </c>
      <c r="E12" s="10">
        <f>IF(E30="","",E30*1000/E5)</f>
        <v/>
      </c>
      <c r="F12" s="10">
        <f>IF(F30="","",F30*1000/F5)</f>
        <v/>
      </c>
      <c r="G12" s="10">
        <f>IF(G30="","",G30*1000/G5)</f>
        <v/>
      </c>
      <c r="H12" s="10">
        <f>IF(H30="","",H30*1000/H5)</f>
        <v/>
      </c>
      <c r="I12" s="10">
        <f>IF(I30="","",I30*1000/I5)</f>
        <v/>
      </c>
      <c r="J12" s="10">
        <f>IF(J30="","",J30*1000/J5)</f>
        <v/>
      </c>
      <c r="K12" s="10">
        <f>IF(K30="","",K30*1000/K5)</f>
        <v/>
      </c>
      <c r="M12" s="10">
        <f>IF(B39="","",B39*1000/B5)</f>
        <v/>
      </c>
      <c r="N12" s="10">
        <f>IF(C39="","",C39*1000/C5)</f>
        <v/>
      </c>
      <c r="O12" s="10">
        <f>IF(D39="","",D39*1000/D5)</f>
        <v/>
      </c>
      <c r="P12" s="10">
        <f>IF(E39="","",E39*1000/E5)</f>
        <v/>
      </c>
      <c r="Q12" s="10">
        <f>IF(F39="","",F39*1000/F5)</f>
        <v/>
      </c>
      <c r="R12" s="10">
        <f>IF(G39="","",G39*1000/G5)</f>
        <v/>
      </c>
      <c r="S12" s="10">
        <f>IF(H39="","",H39*1000/H5)</f>
        <v/>
      </c>
      <c r="T12" s="10">
        <f>IF(I39="","",I39*1000/I5)</f>
        <v/>
      </c>
      <c r="U12" s="10">
        <f>IF(J39="","",J39*1000/J5)</f>
        <v/>
      </c>
      <c r="V12" s="10">
        <f>IF(K39="","",K39*1000/K5)</f>
        <v/>
      </c>
      <c r="X12" s="10">
        <f>IF(B48="","",B48)</f>
        <v/>
      </c>
      <c r="Y12" s="10">
        <f>IF(C48="","",C48)</f>
        <v/>
      </c>
      <c r="Z12" s="10">
        <f>IF(D48="","",D48)</f>
        <v/>
      </c>
      <c r="AA12" s="10">
        <f>IF(E48="","",E48)</f>
        <v/>
      </c>
      <c r="AB12" s="10">
        <f>IF(F48="","",F48)</f>
        <v/>
      </c>
      <c r="AC12" s="10">
        <f>IF(G48="","",G48)</f>
        <v/>
      </c>
      <c r="AD12" s="10">
        <f>IF(H48="","",H48)</f>
        <v/>
      </c>
      <c r="AE12" s="10">
        <f>IF(I48="","",I48)</f>
        <v/>
      </c>
      <c r="AF12" s="10">
        <f>IF(J48="","",J48)</f>
        <v/>
      </c>
      <c r="AG12" s="10">
        <f>IF(K48="","",K48)</f>
        <v/>
      </c>
    </row>
    <row r="13">
      <c r="A13" s="5" t="inlineStr">
        <is>
          <t>시가총액 · 연말 (Market cap, year-end, US$m)</t>
        </is>
      </c>
      <c r="B13" s="10">
        <f>IF(B33="","",B33)</f>
        <v/>
      </c>
      <c r="C13" s="10">
        <f>IF(C33="","",C33)</f>
        <v/>
      </c>
      <c r="D13" s="10">
        <f>IF(D33="","",D33)</f>
        <v/>
      </c>
      <c r="E13" s="10">
        <f>IF(E33="","",E33)</f>
        <v/>
      </c>
      <c r="F13" s="10">
        <f>IF(F33="","",F33)</f>
        <v/>
      </c>
      <c r="G13" s="10">
        <f>IF(G33="","",G33)</f>
        <v/>
      </c>
      <c r="H13" s="10">
        <f>IF(H33="","",H33)</f>
        <v/>
      </c>
      <c r="I13" s="10">
        <f>IF(I33="","",I33)</f>
        <v/>
      </c>
      <c r="J13" s="10">
        <f>IF(J33="","",J33)</f>
        <v/>
      </c>
      <c r="K13" s="10">
        <f>IF(K33="","",K33)</f>
        <v/>
      </c>
      <c r="M13" s="10">
        <f>IF(B42="","",B42)</f>
        <v/>
      </c>
      <c r="N13" s="10">
        <f>IF(C42="","",C42)</f>
        <v/>
      </c>
      <c r="O13" s="10">
        <f>IF(D42="","",D42)</f>
        <v/>
      </c>
      <c r="P13" s="10">
        <f>IF(E42="","",E42)</f>
        <v/>
      </c>
      <c r="Q13" s="10">
        <f>IF(F42="","",F42)</f>
        <v/>
      </c>
      <c r="R13" s="10">
        <f>IF(G42="","",G42)</f>
        <v/>
      </c>
      <c r="S13" s="10">
        <f>IF(H42="","",H42)</f>
        <v/>
      </c>
      <c r="T13" s="10">
        <f>IF(I42="","",I42)</f>
        <v/>
      </c>
      <c r="U13" s="10">
        <f>IF(J42="","",J42)</f>
        <v/>
      </c>
      <c r="V13" s="10">
        <f>IF(K42="","",K42)</f>
        <v/>
      </c>
      <c r="X13" s="10">
        <f>IF(B51="","",B51)</f>
        <v/>
      </c>
      <c r="Y13" s="10">
        <f>IF(C51="","",C51)</f>
        <v/>
      </c>
      <c r="Z13" s="10">
        <f>IF(D51="","",D51)</f>
        <v/>
      </c>
      <c r="AA13" s="10">
        <f>IF(E51="","",E51)</f>
        <v/>
      </c>
      <c r="AB13" s="10">
        <f>IF(F51="","",F51)</f>
        <v/>
      </c>
      <c r="AC13" s="10">
        <f>IF(G51="","",G51)</f>
        <v/>
      </c>
      <c r="AD13" s="10">
        <f>IF(H51="","",H51)</f>
        <v/>
      </c>
      <c r="AE13" s="10">
        <f>IF(I51="","",I51)</f>
        <v/>
      </c>
      <c r="AF13" s="10">
        <f>IF(J51="","",J51)</f>
        <v/>
      </c>
      <c r="AG13" s="10">
        <f>IF(K51="","",K51)</f>
        <v/>
      </c>
    </row>
    <row r="14">
      <c r="A14" s="5" t="inlineStr">
        <is>
          <t>재고자산 (Inventories, US$m)</t>
        </is>
      </c>
      <c r="B14" s="10">
        <f>IF(B31="","",B31*1000/B6)</f>
        <v/>
      </c>
      <c r="C14" s="10">
        <f>IF(C31="","",C31*1000/C6)</f>
        <v/>
      </c>
      <c r="D14" s="10">
        <f>IF(D31="","",D31*1000/D6)</f>
        <v/>
      </c>
      <c r="E14" s="10">
        <f>IF(E31="","",E31*1000/E6)</f>
        <v/>
      </c>
      <c r="F14" s="10">
        <f>IF(F31="","",F31*1000/F6)</f>
        <v/>
      </c>
      <c r="G14" s="10">
        <f>IF(G31="","",G31*1000/G6)</f>
        <v/>
      </c>
      <c r="H14" s="10">
        <f>IF(H31="","",H31*1000/H6)</f>
        <v/>
      </c>
      <c r="I14" s="10">
        <f>IF(I31="","",I31*1000/I6)</f>
        <v/>
      </c>
      <c r="J14" s="10">
        <f>IF(J31="","",J31*1000/J6)</f>
        <v/>
      </c>
      <c r="K14" s="10">
        <f>IF(K31="","",K31*1000/K6)</f>
        <v/>
      </c>
      <c r="M14" s="10">
        <f>IF(B40="","",B40*1000/B6)</f>
        <v/>
      </c>
      <c r="N14" s="10">
        <f>IF(C40="","",C40*1000/C6)</f>
        <v/>
      </c>
      <c r="O14" s="10">
        <f>IF(D40="","",D40*1000/D6)</f>
        <v/>
      </c>
      <c r="P14" s="10">
        <f>IF(E40="","",E40*1000/E6)</f>
        <v/>
      </c>
      <c r="Q14" s="10">
        <f>IF(F40="","",F40*1000/F6)</f>
        <v/>
      </c>
      <c r="R14" s="10">
        <f>IF(G40="","",G40*1000/G6)</f>
        <v/>
      </c>
      <c r="S14" s="10">
        <f>IF(H40="","",H40*1000/H6)</f>
        <v/>
      </c>
      <c r="T14" s="10">
        <f>IF(I40="","",I40*1000/I6)</f>
        <v/>
      </c>
      <c r="U14" s="10">
        <f>IF(J40="","",J40*1000/J6)</f>
        <v/>
      </c>
      <c r="V14" s="10">
        <f>IF(K40="","",K40*1000/K6)</f>
        <v/>
      </c>
      <c r="X14" s="10">
        <f>IF(B49="","",B49)</f>
        <v/>
      </c>
      <c r="Y14" s="10">
        <f>IF(C49="","",C49)</f>
        <v/>
      </c>
      <c r="Z14" s="10">
        <f>IF(D49="","",D49)</f>
        <v/>
      </c>
      <c r="AA14" s="10">
        <f>IF(E49="","",E49)</f>
        <v/>
      </c>
      <c r="AB14" s="10">
        <f>IF(F49="","",F49)</f>
        <v/>
      </c>
      <c r="AC14" s="10">
        <f>IF(G49="","",G49)</f>
        <v/>
      </c>
      <c r="AD14" s="10">
        <f>IF(H49="","",H49)</f>
        <v/>
      </c>
      <c r="AE14" s="10">
        <f>IF(I49="","",I49)</f>
        <v/>
      </c>
      <c r="AF14" s="10">
        <f>IF(J49="","",J49)</f>
        <v/>
      </c>
      <c r="AG14" s="10">
        <f>IF(K49="","",K49)</f>
        <v/>
      </c>
    </row>
    <row r="15">
      <c r="A15" s="5" t="inlineStr">
        <is>
          <t>자산총계 (Total assets, US$m)</t>
        </is>
      </c>
      <c r="B15" s="10">
        <f>IF(B32="","",B32*1000/B6)</f>
        <v/>
      </c>
      <c r="C15" s="10">
        <f>IF(C32="","",C32*1000/C6)</f>
        <v/>
      </c>
      <c r="D15" s="10">
        <f>IF(D32="","",D32*1000/D6)</f>
        <v/>
      </c>
      <c r="E15" s="10">
        <f>IF(E32="","",E32*1000/E6)</f>
        <v/>
      </c>
      <c r="F15" s="10">
        <f>IF(F32="","",F32*1000/F6)</f>
        <v/>
      </c>
      <c r="G15" s="10">
        <f>IF(G32="","",G32*1000/G6)</f>
        <v/>
      </c>
      <c r="H15" s="10">
        <f>IF(H32="","",H32*1000/H6)</f>
        <v/>
      </c>
      <c r="I15" s="10">
        <f>IF(I32="","",I32*1000/I6)</f>
        <v/>
      </c>
      <c r="J15" s="10">
        <f>IF(J32="","",J32*1000/J6)</f>
        <v/>
      </c>
      <c r="K15" s="10">
        <f>IF(K32="","",K32*1000/K6)</f>
        <v/>
      </c>
      <c r="M15" s="10">
        <f>IF(B41="","",B41*1000/B6)</f>
        <v/>
      </c>
      <c r="N15" s="10">
        <f>IF(C41="","",C41*1000/C6)</f>
        <v/>
      </c>
      <c r="O15" s="10">
        <f>IF(D41="","",D41*1000/D6)</f>
        <v/>
      </c>
      <c r="P15" s="10">
        <f>IF(E41="","",E41*1000/E6)</f>
        <v/>
      </c>
      <c r="Q15" s="10">
        <f>IF(F41="","",F41*1000/F6)</f>
        <v/>
      </c>
      <c r="R15" s="10">
        <f>IF(G41="","",G41*1000/G6)</f>
        <v/>
      </c>
      <c r="S15" s="10">
        <f>IF(H41="","",H41*1000/H6)</f>
        <v/>
      </c>
      <c r="T15" s="10">
        <f>IF(I41="","",I41*1000/I6)</f>
        <v/>
      </c>
      <c r="U15" s="10">
        <f>IF(J41="","",J41*1000/J6)</f>
        <v/>
      </c>
      <c r="V15" s="10">
        <f>IF(K41="","",K41*1000/K6)</f>
        <v/>
      </c>
      <c r="X15" s="10">
        <f>IF(B50="","",B50)</f>
        <v/>
      </c>
      <c r="Y15" s="10">
        <f>IF(C50="","",C50)</f>
        <v/>
      </c>
      <c r="Z15" s="10">
        <f>IF(D50="","",D50)</f>
        <v/>
      </c>
      <c r="AA15" s="10">
        <f>IF(E50="","",E50)</f>
        <v/>
      </c>
      <c r="AB15" s="10">
        <f>IF(F50="","",F50)</f>
        <v/>
      </c>
      <c r="AC15" s="10">
        <f>IF(G50="","",G50)</f>
        <v/>
      </c>
      <c r="AD15" s="10">
        <f>IF(H50="","",H50)</f>
        <v/>
      </c>
      <c r="AE15" s="10">
        <f>IF(I50="","",I50)</f>
        <v/>
      </c>
      <c r="AF15" s="10">
        <f>IF(J50="","",J50)</f>
        <v/>
      </c>
      <c r="AG15" s="10">
        <f>IF(K50="","",K50)</f>
        <v/>
      </c>
    </row>
    <row r="17">
      <c r="A17" s="4" t="inlineStr">
        <is>
          <t>Gross profit margin  (영업이익 ÷ 매출액)</t>
        </is>
      </c>
      <c r="B17" s="11">
        <f>IFERROR(B11/B10,"")</f>
        <v/>
      </c>
      <c r="C17" s="11">
        <f>IFERROR(C11/C10,"")</f>
        <v/>
      </c>
      <c r="D17" s="11">
        <f>IFERROR(D11/D10,"")</f>
        <v/>
      </c>
      <c r="E17" s="11">
        <f>IFERROR(E11/E10,"")</f>
        <v/>
      </c>
      <c r="F17" s="11">
        <f>IFERROR(F11/F10,"")</f>
        <v/>
      </c>
      <c r="G17" s="11">
        <f>IFERROR(G11/G10,"")</f>
        <v/>
      </c>
      <c r="H17" s="11">
        <f>IFERROR(H11/H10,"")</f>
        <v/>
      </c>
      <c r="I17" s="11">
        <f>IFERROR(I11/I10,"")</f>
        <v/>
      </c>
      <c r="J17" s="11">
        <f>IFERROR(J11/J10,"")</f>
        <v/>
      </c>
      <c r="K17" s="11">
        <f>IFERROR(K11/K10,"")</f>
        <v/>
      </c>
      <c r="M17" s="11">
        <f>IFERROR(M11/M10,"")</f>
        <v/>
      </c>
      <c r="N17" s="11">
        <f>IFERROR(N11/N10,"")</f>
        <v/>
      </c>
      <c r="O17" s="11">
        <f>IFERROR(O11/O10,"")</f>
        <v/>
      </c>
      <c r="P17" s="11">
        <f>IFERROR(P11/P10,"")</f>
        <v/>
      </c>
      <c r="Q17" s="11">
        <f>IFERROR(Q11/Q10,"")</f>
        <v/>
      </c>
      <c r="R17" s="11">
        <f>IFERROR(R11/R10,"")</f>
        <v/>
      </c>
      <c r="S17" s="11">
        <f>IFERROR(S11/S10,"")</f>
        <v/>
      </c>
      <c r="T17" s="11">
        <f>IFERROR(T11/T10,"")</f>
        <v/>
      </c>
      <c r="U17" s="11">
        <f>IFERROR(U11/U10,"")</f>
        <v/>
      </c>
      <c r="V17" s="11">
        <f>IFERROR(V11/V10,"")</f>
        <v/>
      </c>
      <c r="X17" s="11">
        <f>IFERROR(X11/X10,"")</f>
        <v/>
      </c>
      <c r="Y17" s="11">
        <f>IFERROR(Y11/Y10,"")</f>
        <v/>
      </c>
      <c r="Z17" s="11">
        <f>IFERROR(Z11/Z10,"")</f>
        <v/>
      </c>
      <c r="AA17" s="11">
        <f>IFERROR(AA11/AA10,"")</f>
        <v/>
      </c>
      <c r="AB17" s="11">
        <f>IFERROR(AB11/AB10,"")</f>
        <v/>
      </c>
      <c r="AC17" s="11">
        <f>IFERROR(AC11/AC10,"")</f>
        <v/>
      </c>
      <c r="AD17" s="11">
        <f>IFERROR(AD11/AD10,"")</f>
        <v/>
      </c>
      <c r="AE17" s="11">
        <f>IFERROR(AE11/AE10,"")</f>
        <v/>
      </c>
      <c r="AF17" s="11">
        <f>IFERROR(AF11/AF10,"")</f>
        <v/>
      </c>
      <c r="AG17" s="11">
        <f>IFERROR(AG11/AG10,"")</f>
        <v/>
      </c>
    </row>
    <row r="18">
      <c r="A18" s="4" t="inlineStr">
        <is>
          <t>Profit margin  (당기순이익 ÷ 매출액)</t>
        </is>
      </c>
      <c r="B18" s="11">
        <f>IFERROR(B12/B10,"")</f>
        <v/>
      </c>
      <c r="C18" s="11">
        <f>IFERROR(C12/C10,"")</f>
        <v/>
      </c>
      <c r="D18" s="11">
        <f>IFERROR(D12/D10,"")</f>
        <v/>
      </c>
      <c r="E18" s="11">
        <f>IFERROR(E12/E10,"")</f>
        <v/>
      </c>
      <c r="F18" s="11">
        <f>IFERROR(F12/F10,"")</f>
        <v/>
      </c>
      <c r="G18" s="11">
        <f>IFERROR(G12/G10,"")</f>
        <v/>
      </c>
      <c r="H18" s="11">
        <f>IFERROR(H12/H10,"")</f>
        <v/>
      </c>
      <c r="I18" s="11">
        <f>IFERROR(I12/I10,"")</f>
        <v/>
      </c>
      <c r="J18" s="11">
        <f>IFERROR(J12/J10,"")</f>
        <v/>
      </c>
      <c r="K18" s="11">
        <f>IFERROR(K12/K10,"")</f>
        <v/>
      </c>
      <c r="M18" s="11">
        <f>IFERROR(M12/M10,"")</f>
        <v/>
      </c>
      <c r="N18" s="11">
        <f>IFERROR(N12/N10,"")</f>
        <v/>
      </c>
      <c r="O18" s="11">
        <f>IFERROR(O12/O10,"")</f>
        <v/>
      </c>
      <c r="P18" s="11">
        <f>IFERROR(P12/P10,"")</f>
        <v/>
      </c>
      <c r="Q18" s="11">
        <f>IFERROR(Q12/Q10,"")</f>
        <v/>
      </c>
      <c r="R18" s="11">
        <f>IFERROR(R12/R10,"")</f>
        <v/>
      </c>
      <c r="S18" s="11">
        <f>IFERROR(S12/S10,"")</f>
        <v/>
      </c>
      <c r="T18" s="11">
        <f>IFERROR(T12/T10,"")</f>
        <v/>
      </c>
      <c r="U18" s="11">
        <f>IFERROR(U12/U10,"")</f>
        <v/>
      </c>
      <c r="V18" s="11">
        <f>IFERROR(V12/V10,"")</f>
        <v/>
      </c>
      <c r="X18" s="11">
        <f>IFERROR(X12/X10,"")</f>
        <v/>
      </c>
      <c r="Y18" s="11">
        <f>IFERROR(Y12/Y10,"")</f>
        <v/>
      </c>
      <c r="Z18" s="11">
        <f>IFERROR(Z12/Z10,"")</f>
        <v/>
      </c>
      <c r="AA18" s="11">
        <f>IFERROR(AA12/AA10,"")</f>
        <v/>
      </c>
      <c r="AB18" s="11">
        <f>IFERROR(AB12/AB10,"")</f>
        <v/>
      </c>
      <c r="AC18" s="11">
        <f>IFERROR(AC12/AC10,"")</f>
        <v/>
      </c>
      <c r="AD18" s="11">
        <f>IFERROR(AD12/AD10,"")</f>
        <v/>
      </c>
      <c r="AE18" s="11">
        <f>IFERROR(AE12/AE10,"")</f>
        <v/>
      </c>
      <c r="AF18" s="11">
        <f>IFERROR(AF12/AF10,"")</f>
        <v/>
      </c>
      <c r="AG18" s="11">
        <f>IFERROR(AG12/AG10,"")</f>
        <v/>
      </c>
    </row>
    <row r="19">
      <c r="A19" s="4" t="inlineStr">
        <is>
          <t>PE ratio  (당기순이익 ÷ 시가총액)</t>
        </is>
      </c>
      <c r="B19" s="11">
        <f>IFERROR(B12/B13,"")</f>
        <v/>
      </c>
      <c r="C19" s="11">
        <f>IFERROR(C12/C13,"")</f>
        <v/>
      </c>
      <c r="D19" s="11">
        <f>IFERROR(D12/D13,"")</f>
        <v/>
      </c>
      <c r="E19" s="11">
        <f>IFERROR(E12/E13,"")</f>
        <v/>
      </c>
      <c r="F19" s="11">
        <f>IFERROR(F12/F13,"")</f>
        <v/>
      </c>
      <c r="G19" s="11">
        <f>IFERROR(G12/G13,"")</f>
        <v/>
      </c>
      <c r="H19" s="11">
        <f>IFERROR(H12/H13,"")</f>
        <v/>
      </c>
      <c r="I19" s="11">
        <f>IFERROR(I12/I13,"")</f>
        <v/>
      </c>
      <c r="J19" s="11">
        <f>IFERROR(J12/J13,"")</f>
        <v/>
      </c>
      <c r="K19" s="11">
        <f>IFERROR(K12/K13,"")</f>
        <v/>
      </c>
      <c r="M19" s="11">
        <f>IFERROR(M12/M13,"")</f>
        <v/>
      </c>
      <c r="N19" s="11">
        <f>IFERROR(N12/N13,"")</f>
        <v/>
      </c>
      <c r="O19" s="11">
        <f>IFERROR(O12/O13,"")</f>
        <v/>
      </c>
      <c r="P19" s="11">
        <f>IFERROR(P12/P13,"")</f>
        <v/>
      </c>
      <c r="Q19" s="11">
        <f>IFERROR(Q12/Q13,"")</f>
        <v/>
      </c>
      <c r="R19" s="11">
        <f>IFERROR(R12/R13,"")</f>
        <v/>
      </c>
      <c r="S19" s="11">
        <f>IFERROR(S12/S13,"")</f>
        <v/>
      </c>
      <c r="T19" s="11">
        <f>IFERROR(T12/T13,"")</f>
        <v/>
      </c>
      <c r="U19" s="11">
        <f>IFERROR(U12/U13,"")</f>
        <v/>
      </c>
      <c r="V19" s="11">
        <f>IFERROR(V12/V13,"")</f>
        <v/>
      </c>
      <c r="X19" s="11">
        <f>IFERROR(X12/X13,"")</f>
        <v/>
      </c>
      <c r="Y19" s="11">
        <f>IFERROR(Y12/Y13,"")</f>
        <v/>
      </c>
      <c r="Z19" s="11">
        <f>IFERROR(Z12/Z13,"")</f>
        <v/>
      </c>
      <c r="AA19" s="11">
        <f>IFERROR(AA12/AA13,"")</f>
        <v/>
      </c>
      <c r="AB19" s="11">
        <f>IFERROR(AB12/AB13,"")</f>
        <v/>
      </c>
      <c r="AC19" s="11">
        <f>IFERROR(AC12/AC13,"")</f>
        <v/>
      </c>
      <c r="AD19" s="11">
        <f>IFERROR(AD12/AD13,"")</f>
        <v/>
      </c>
      <c r="AE19" s="11">
        <f>IFERROR(AE12/AE13,"")</f>
        <v/>
      </c>
      <c r="AF19" s="11">
        <f>IFERROR(AF12/AF13,"")</f>
        <v/>
      </c>
      <c r="AG19" s="11">
        <f>IFERROR(AG12/AG13,"")</f>
        <v/>
      </c>
    </row>
    <row r="20">
      <c r="A20" s="4" t="inlineStr">
        <is>
          <t>재고자산 / 자산총계  (Inventory ÷ total assets)</t>
        </is>
      </c>
      <c r="B20" s="11">
        <f>IFERROR(B14/B15,"")</f>
        <v/>
      </c>
      <c r="C20" s="11">
        <f>IFERROR(C14/C15,"")</f>
        <v/>
      </c>
      <c r="D20" s="11">
        <f>IFERROR(D14/D15,"")</f>
        <v/>
      </c>
      <c r="E20" s="11">
        <f>IFERROR(E14/E15,"")</f>
        <v/>
      </c>
      <c r="F20" s="11">
        <f>IFERROR(F14/F15,"")</f>
        <v/>
      </c>
      <c r="G20" s="11">
        <f>IFERROR(G14/G15,"")</f>
        <v/>
      </c>
      <c r="H20" s="11">
        <f>IFERROR(H14/H15,"")</f>
        <v/>
      </c>
      <c r="I20" s="11">
        <f>IFERROR(I14/I15,"")</f>
        <v/>
      </c>
      <c r="J20" s="11">
        <f>IFERROR(J14/J15,"")</f>
        <v/>
      </c>
      <c r="K20" s="11">
        <f>IFERROR(K14/K15,"")</f>
        <v/>
      </c>
      <c r="M20" s="11">
        <f>IFERROR(M14/M15,"")</f>
        <v/>
      </c>
      <c r="N20" s="11">
        <f>IFERROR(N14/N15,"")</f>
        <v/>
      </c>
      <c r="O20" s="11">
        <f>IFERROR(O14/O15,"")</f>
        <v/>
      </c>
      <c r="P20" s="11">
        <f>IFERROR(P14/P15,"")</f>
        <v/>
      </c>
      <c r="Q20" s="11">
        <f>IFERROR(Q14/Q15,"")</f>
        <v/>
      </c>
      <c r="R20" s="11">
        <f>IFERROR(R14/R15,"")</f>
        <v/>
      </c>
      <c r="S20" s="11">
        <f>IFERROR(S14/S15,"")</f>
        <v/>
      </c>
      <c r="T20" s="11">
        <f>IFERROR(T14/T15,"")</f>
        <v/>
      </c>
      <c r="U20" s="11">
        <f>IFERROR(U14/U15,"")</f>
        <v/>
      </c>
      <c r="V20" s="11">
        <f>IFERROR(V14/V15,"")</f>
        <v/>
      </c>
      <c r="X20" s="11">
        <f>IFERROR(X14/X15,"")</f>
        <v/>
      </c>
      <c r="Y20" s="11">
        <f>IFERROR(Y14/Y15,"")</f>
        <v/>
      </c>
      <c r="Z20" s="11">
        <f>IFERROR(Z14/Z15,"")</f>
        <v/>
      </c>
      <c r="AA20" s="11">
        <f>IFERROR(AA14/AA15,"")</f>
        <v/>
      </c>
      <c r="AB20" s="11">
        <f>IFERROR(AB14/AB15,"")</f>
        <v/>
      </c>
      <c r="AC20" s="11">
        <f>IFERROR(AC14/AC15,"")</f>
        <v/>
      </c>
      <c r="AD20" s="11">
        <f>IFERROR(AD14/AD15,"")</f>
        <v/>
      </c>
      <c r="AE20" s="11">
        <f>IFERROR(AE14/AE15,"")</f>
        <v/>
      </c>
      <c r="AF20" s="11">
        <f>IFERROR(AF14/AF15,"")</f>
        <v/>
      </c>
      <c r="AG20" s="11">
        <f>IFERROR(AG14/AG15,"")</f>
        <v/>
      </c>
    </row>
    <row r="21">
      <c r="A21" s="5" t="inlineStr">
        <is>
          <t>참고: 매출총이익률  (매출총이익 ÷ 매출액)</t>
        </is>
      </c>
      <c r="B21" s="11">
        <f>IFERROR(B28/B27,"")</f>
        <v/>
      </c>
      <c r="C21" s="11">
        <f>IFERROR(C28/C27,"")</f>
        <v/>
      </c>
      <c r="D21" s="11">
        <f>IFERROR(D28/D27,"")</f>
        <v/>
      </c>
      <c r="E21" s="11">
        <f>IFERROR(E28/E27,"")</f>
        <v/>
      </c>
      <c r="F21" s="11">
        <f>IFERROR(F28/F27,"")</f>
        <v/>
      </c>
      <c r="G21" s="11">
        <f>IFERROR(G28/G27,"")</f>
        <v/>
      </c>
      <c r="H21" s="11">
        <f>IFERROR(H28/H27,"")</f>
        <v/>
      </c>
      <c r="I21" s="11">
        <f>IFERROR(I28/I27,"")</f>
        <v/>
      </c>
      <c r="J21" s="11">
        <f>IFERROR(J28/J27,"")</f>
        <v/>
      </c>
      <c r="K21" s="11">
        <f>IFERROR(K28/K27,"")</f>
        <v/>
      </c>
      <c r="M21" s="11">
        <f>IFERROR(B37/B36,"")</f>
        <v/>
      </c>
      <c r="N21" s="11">
        <f>IFERROR(C37/C36,"")</f>
        <v/>
      </c>
      <c r="O21" s="11">
        <f>IFERROR(D37/D36,"")</f>
        <v/>
      </c>
      <c r="P21" s="11">
        <f>IFERROR(E37/E36,"")</f>
        <v/>
      </c>
      <c r="Q21" s="11">
        <f>IFERROR(F37/F36,"")</f>
        <v/>
      </c>
      <c r="R21" s="11">
        <f>IFERROR(G37/G36,"")</f>
        <v/>
      </c>
      <c r="S21" s="11">
        <f>IFERROR(H37/H36,"")</f>
        <v/>
      </c>
      <c r="T21" s="11">
        <f>IFERROR(I37/I36,"")</f>
        <v/>
      </c>
      <c r="U21" s="11">
        <f>IFERROR(J37/J36,"")</f>
        <v/>
      </c>
      <c r="V21" s="11">
        <f>IFERROR(K37/K36,"")</f>
        <v/>
      </c>
      <c r="X21" s="11">
        <f>IFERROR(B46/B45,"")</f>
        <v/>
      </c>
      <c r="Y21" s="11">
        <f>IFERROR(C46/C45,"")</f>
        <v/>
      </c>
      <c r="Z21" s="11">
        <f>IFERROR(D46/D45,"")</f>
        <v/>
      </c>
      <c r="AA21" s="11">
        <f>IFERROR(E46/E45,"")</f>
        <v/>
      </c>
      <c r="AB21" s="11">
        <f>IFERROR(F46/F45,"")</f>
        <v/>
      </c>
      <c r="AC21" s="11">
        <f>IFERROR(G46/G45,"")</f>
        <v/>
      </c>
      <c r="AD21" s="11">
        <f>IFERROR(H46/H45,"")</f>
        <v/>
      </c>
      <c r="AE21" s="11">
        <f>IFERROR(I46/I45,"")</f>
        <v/>
      </c>
      <c r="AF21" s="11">
        <f>IFERROR(J46/J45,"")</f>
        <v/>
      </c>
      <c r="AG21" s="11">
        <f>IFERROR(K46/K45,"")</f>
        <v/>
      </c>
    </row>
    <row r="22">
      <c r="A22" s="5" t="inlineStr">
        <is>
          <t>참고: 통상적 P/E  (시가총액 ÷ 당기순이익)</t>
        </is>
      </c>
      <c r="B22" s="12">
        <f>IF(OR(B12="",B13="",N(B12)&lt;=0),"",B13/B12)</f>
        <v/>
      </c>
      <c r="C22" s="12">
        <f>IF(OR(C12="",C13="",N(C12)&lt;=0),"",C13/C12)</f>
        <v/>
      </c>
      <c r="D22" s="12">
        <f>IF(OR(D12="",D13="",N(D12)&lt;=0),"",D13/D12)</f>
        <v/>
      </c>
      <c r="E22" s="12">
        <f>IF(OR(E12="",E13="",N(E12)&lt;=0),"",E13/E12)</f>
        <v/>
      </c>
      <c r="F22" s="12">
        <f>IF(OR(F12="",F13="",N(F12)&lt;=0),"",F13/F12)</f>
        <v/>
      </c>
      <c r="G22" s="12">
        <f>IF(OR(G12="",G13="",N(G12)&lt;=0),"",G13/G12)</f>
        <v/>
      </c>
      <c r="H22" s="12">
        <f>IF(OR(H12="",H13="",N(H12)&lt;=0),"",H13/H12)</f>
        <v/>
      </c>
      <c r="I22" s="12">
        <f>IF(OR(I12="",I13="",N(I12)&lt;=0),"",I13/I12)</f>
        <v/>
      </c>
      <c r="J22" s="12">
        <f>IF(OR(J12="",J13="",N(J12)&lt;=0),"",J13/J12)</f>
        <v/>
      </c>
      <c r="K22" s="12">
        <f>IF(OR(K12="",K13="",N(K12)&lt;=0),"",K13/K12)</f>
        <v/>
      </c>
      <c r="M22" s="12">
        <f>IF(OR(M12="",M13="",N(M12)&lt;=0),"",M13/M12)</f>
        <v/>
      </c>
      <c r="N22" s="12">
        <f>IF(OR(N12="",N13="",N(N12)&lt;=0),"",N13/N12)</f>
        <v/>
      </c>
      <c r="O22" s="12">
        <f>IF(OR(O12="",O13="",N(O12)&lt;=0),"",O13/O12)</f>
        <v/>
      </c>
      <c r="P22" s="12">
        <f>IF(OR(P12="",P13="",N(P12)&lt;=0),"",P13/P12)</f>
        <v/>
      </c>
      <c r="Q22" s="12">
        <f>IF(OR(Q12="",Q13="",N(Q12)&lt;=0),"",Q13/Q12)</f>
        <v/>
      </c>
      <c r="R22" s="12">
        <f>IF(OR(R12="",R13="",N(R12)&lt;=0),"",R13/R12)</f>
        <v/>
      </c>
      <c r="S22" s="12">
        <f>IF(OR(S12="",S13="",N(S12)&lt;=0),"",S13/S12)</f>
        <v/>
      </c>
      <c r="T22" s="12">
        <f>IF(OR(T12="",T13="",N(T12)&lt;=0),"",T13/T12)</f>
        <v/>
      </c>
      <c r="U22" s="12">
        <f>IF(OR(U12="",U13="",N(U12)&lt;=0),"",U13/U12)</f>
        <v/>
      </c>
      <c r="V22" s="12">
        <f>IF(OR(V12="",V13="",N(V12)&lt;=0),"",V13/V12)</f>
        <v/>
      </c>
      <c r="X22" s="12">
        <f>IF(OR(X12="",X13="",N(X12)&lt;=0),"",X13/X12)</f>
        <v/>
      </c>
      <c r="Y22" s="12">
        <f>IF(OR(Y12="",Y13="",N(Y12)&lt;=0),"",Y13/Y12)</f>
        <v/>
      </c>
      <c r="Z22" s="12">
        <f>IF(OR(Z12="",Z13="",N(Z12)&lt;=0),"",Z13/Z12)</f>
        <v/>
      </c>
      <c r="AA22" s="12">
        <f>IF(OR(AA12="",AA13="",N(AA12)&lt;=0),"",AA13/AA12)</f>
        <v/>
      </c>
      <c r="AB22" s="12">
        <f>IF(OR(AB12="",AB13="",N(AB12)&lt;=0),"",AB13/AB12)</f>
        <v/>
      </c>
      <c r="AC22" s="12">
        <f>IF(OR(AC12="",AC13="",N(AC12)&lt;=0),"",AC13/AC12)</f>
        <v/>
      </c>
      <c r="AD22" s="12">
        <f>IF(OR(AD12="",AD13="",N(AD12)&lt;=0),"",AD13/AD12)</f>
        <v/>
      </c>
      <c r="AE22" s="12">
        <f>IF(OR(AE12="",AE13="",N(AE12)&lt;=0),"",AE13/AE12)</f>
        <v/>
      </c>
      <c r="AF22" s="12">
        <f>IF(OR(AF12="",AF13="",N(AF12)&lt;=0),"",AF13/AF12)</f>
        <v/>
      </c>
      <c r="AG22" s="12">
        <f>IF(OR(AG12="",AG13="",N(AG12)&lt;=0),"",AG13/AG12)</f>
        <v/>
      </c>
    </row>
    <row r="24">
      <c r="A24" s="3" t="inlineStr">
        <is>
          <t>원자료 — 보고통화 기준 (Source data in reporting currency)</t>
        </is>
      </c>
    </row>
    <row r="25">
      <c r="A25" s="2" t="inlineStr">
        <is>
          <t>SK하이닉스·삼성전자: 십억 원 (KRW bn) · 마이크론: 백만 달러 (US$m) · 시가총액은 3사 모두 백만 달러 (US$m).</t>
        </is>
      </c>
    </row>
    <row r="26">
      <c r="A26" s="3" t="inlineStr">
        <is>
          <t>SK하이닉스 (SK hynix) — 십억 원 (KRW bn)</t>
        </is>
      </c>
      <c r="B26" s="13" t="inlineStr">
        <is>
          <t>2016</t>
        </is>
      </c>
      <c r="C26" s="13" t="inlineStr">
        <is>
          <t>2017</t>
        </is>
      </c>
      <c r="D26" s="13" t="inlineStr">
        <is>
          <t>2018</t>
        </is>
      </c>
      <c r="E26" s="13" t="inlineStr">
        <is>
          <t>2019</t>
        </is>
      </c>
      <c r="F26" s="13" t="inlineStr">
        <is>
          <t>2020</t>
        </is>
      </c>
      <c r="G26" s="13" t="inlineStr">
        <is>
          <t>2021</t>
        </is>
      </c>
      <c r="H26" s="13" t="inlineStr">
        <is>
          <t>2022</t>
        </is>
      </c>
      <c r="I26" s="13" t="inlineStr">
        <is>
          <t>2023</t>
        </is>
      </c>
      <c r="J26" s="13" t="inlineStr">
        <is>
          <t>2024</t>
        </is>
      </c>
      <c r="K26" s="13" t="inlineStr">
        <is>
          <t>2025</t>
        </is>
      </c>
    </row>
    <row r="27">
      <c r="A27" s="5" t="inlineStr">
        <is>
          <t>매출액 (Revenue)</t>
        </is>
      </c>
      <c r="B27" s="14" t="n">
        <v>17198</v>
      </c>
      <c r="C27" s="14" t="n">
        <v>30109</v>
      </c>
      <c r="D27" s="14" t="n">
        <v>40445</v>
      </c>
      <c r="E27" s="14" t="n">
        <v>26991</v>
      </c>
      <c r="F27" s="14" t="n">
        <v>31900</v>
      </c>
      <c r="G27" s="14" t="n">
        <v>42998</v>
      </c>
      <c r="H27" s="14" t="n">
        <v>44648</v>
      </c>
      <c r="I27" s="14" t="n">
        <v>32766</v>
      </c>
      <c r="J27" s="14" t="n">
        <v>66193</v>
      </c>
      <c r="K27" s="14" t="n">
        <v>97147</v>
      </c>
    </row>
    <row r="28">
      <c r="A28" s="5" t="inlineStr">
        <is>
          <t>매출총이익 (Gross profit)</t>
        </is>
      </c>
      <c r="B28" s="14" t="n">
        <v>6411</v>
      </c>
      <c r="C28" s="14" t="n">
        <v>17408</v>
      </c>
      <c r="D28" s="14" t="n">
        <v>25264</v>
      </c>
      <c r="E28" s="14" t="n">
        <v>8172</v>
      </c>
      <c r="F28" s="14" t="n">
        <v>10811</v>
      </c>
      <c r="G28" s="14" t="n">
        <v>20265</v>
      </c>
      <c r="H28" s="14" t="n">
        <v>16193</v>
      </c>
      <c r="I28" s="14" t="n">
        <v>-533</v>
      </c>
      <c r="J28" s="14" t="n">
        <v>31828</v>
      </c>
      <c r="K28" s="14" t="n">
        <v>58691</v>
      </c>
    </row>
    <row r="29">
      <c r="A29" s="5" t="inlineStr">
        <is>
          <t>영업이익 (Operating income)</t>
        </is>
      </c>
      <c r="B29" s="14" t="n">
        <v>3277</v>
      </c>
      <c r="C29" s="14" t="n">
        <v>13721</v>
      </c>
      <c r="D29" s="14" t="n">
        <v>20844</v>
      </c>
      <c r="E29" s="14" t="n">
        <v>2719</v>
      </c>
      <c r="F29" s="14" t="n">
        <v>5013</v>
      </c>
      <c r="G29" s="14" t="n">
        <v>12410</v>
      </c>
      <c r="H29" s="14" t="n">
        <v>7007</v>
      </c>
      <c r="I29" s="14" t="n">
        <v>-7730</v>
      </c>
      <c r="J29" s="14" t="n">
        <v>23468</v>
      </c>
      <c r="K29" s="14" t="n">
        <v>47206</v>
      </c>
    </row>
    <row r="30">
      <c r="A30" s="5" t="inlineStr">
        <is>
          <t>당기순이익 (Net income)</t>
        </is>
      </c>
      <c r="B30" s="14" t="n">
        <v>2960</v>
      </c>
      <c r="C30" s="14" t="n">
        <v>10642</v>
      </c>
      <c r="D30" s="14" t="n">
        <v>15540</v>
      </c>
      <c r="E30" s="14" t="n">
        <v>2009</v>
      </c>
      <c r="F30" s="14" t="n">
        <v>4759</v>
      </c>
      <c r="G30" s="14" t="n">
        <v>9617</v>
      </c>
      <c r="H30" s="14" t="n">
        <v>2439</v>
      </c>
      <c r="I30" s="14" t="n">
        <v>-9138</v>
      </c>
      <c r="J30" s="14" t="n">
        <v>19797</v>
      </c>
      <c r="K30" s="14" t="n">
        <v>42948</v>
      </c>
    </row>
    <row r="31">
      <c r="A31" s="5" t="inlineStr">
        <is>
          <t>재고자산 (Inventories)</t>
        </is>
      </c>
      <c r="B31" s="14" t="n">
        <v>2026</v>
      </c>
      <c r="C31" s="14" t="n">
        <v>2640</v>
      </c>
      <c r="D31" s="14" t="n">
        <v>4423</v>
      </c>
      <c r="E31" s="14" t="n">
        <v>5296</v>
      </c>
      <c r="F31" s="14" t="n">
        <v>6136</v>
      </c>
      <c r="G31" s="14" t="n">
        <v>8950</v>
      </c>
      <c r="H31" s="14" t="n">
        <v>15665</v>
      </c>
      <c r="I31" s="14" t="n">
        <v>13481</v>
      </c>
      <c r="J31" s="14" t="n">
        <v>13314</v>
      </c>
      <c r="K31" s="14" t="n">
        <v>14289</v>
      </c>
    </row>
    <row r="32">
      <c r="A32" s="5" t="inlineStr">
        <is>
          <t>자산총계 (Total assets)</t>
        </is>
      </c>
      <c r="B32" s="14" t="n">
        <v>32216</v>
      </c>
      <c r="C32" s="14" t="n">
        <v>45418</v>
      </c>
      <c r="D32" s="14" t="n">
        <v>63658</v>
      </c>
      <c r="E32" s="14" t="n">
        <v>65248</v>
      </c>
      <c r="F32" s="14" t="n">
        <v>71174</v>
      </c>
      <c r="G32" s="14" t="n">
        <v>96347</v>
      </c>
      <c r="H32" s="14" t="n">
        <v>103872</v>
      </c>
      <c r="I32" s="14" t="n">
        <v>100330</v>
      </c>
      <c r="J32" s="14" t="n">
        <v>119855</v>
      </c>
      <c r="K32" s="14" t="n">
        <v>176108</v>
      </c>
    </row>
    <row r="33">
      <c r="A33" s="5" t="inlineStr">
        <is>
          <t>시가총액 · 연말 (Market cap, year-end)  [US$m]</t>
        </is>
      </c>
      <c r="B33" s="14" t="n">
        <v>26180</v>
      </c>
      <c r="C33" s="14" t="n">
        <v>50490</v>
      </c>
      <c r="D33" s="14" t="n">
        <v>37070</v>
      </c>
      <c r="E33" s="14" t="n">
        <v>55660</v>
      </c>
      <c r="F33" s="14" t="n">
        <v>74600</v>
      </c>
      <c r="G33" s="14" t="n">
        <v>75700</v>
      </c>
      <c r="H33" s="14" t="n">
        <v>40650</v>
      </c>
      <c r="I33" s="14" t="n">
        <v>77400</v>
      </c>
      <c r="J33" s="14" t="n">
        <v>81730</v>
      </c>
      <c r="K33" s="14" t="n">
        <v>286610</v>
      </c>
    </row>
    <row r="35">
      <c r="A35" s="3" t="inlineStr">
        <is>
          <t>삼성전자 (Samsung Electronics) — 십억 원 (KRW bn)</t>
        </is>
      </c>
      <c r="B35" s="13" t="inlineStr">
        <is>
          <t>2016</t>
        </is>
      </c>
      <c r="C35" s="13" t="inlineStr">
        <is>
          <t>2017</t>
        </is>
      </c>
      <c r="D35" s="13" t="inlineStr">
        <is>
          <t>2018</t>
        </is>
      </c>
      <c r="E35" s="13" t="inlineStr">
        <is>
          <t>2019</t>
        </is>
      </c>
      <c r="F35" s="13" t="inlineStr">
        <is>
          <t>2020</t>
        </is>
      </c>
      <c r="G35" s="13" t="inlineStr">
        <is>
          <t>2021</t>
        </is>
      </c>
      <c r="H35" s="13" t="inlineStr">
        <is>
          <t>2022</t>
        </is>
      </c>
      <c r="I35" s="13" t="inlineStr">
        <is>
          <t>2023</t>
        </is>
      </c>
      <c r="J35" s="13" t="inlineStr">
        <is>
          <t>2024</t>
        </is>
      </c>
      <c r="K35" s="13" t="inlineStr">
        <is>
          <t>2025</t>
        </is>
      </c>
    </row>
    <row r="36">
      <c r="A36" s="5" t="inlineStr">
        <is>
          <t>매출액 (Revenue)</t>
        </is>
      </c>
      <c r="B36" s="14" t="n">
        <v>201867</v>
      </c>
      <c r="C36" s="14" t="n">
        <v>239575</v>
      </c>
      <c r="D36" s="14" t="n">
        <v>243771</v>
      </c>
      <c r="E36" s="14" t="n">
        <v>230401</v>
      </c>
      <c r="F36" s="14" t="n">
        <v>236807</v>
      </c>
      <c r="G36" s="14" t="n">
        <v>279605</v>
      </c>
      <c r="H36" s="14" t="n">
        <v>302231</v>
      </c>
      <c r="I36" s="14" t="n">
        <v>258935</v>
      </c>
      <c r="J36" s="14" t="n">
        <v>300871</v>
      </c>
      <c r="K36" s="14" t="n">
        <v>333606</v>
      </c>
    </row>
    <row r="37">
      <c r="A37" s="5" t="inlineStr">
        <is>
          <t>매출총이익 (Gross profit)</t>
        </is>
      </c>
      <c r="B37" s="14" t="n">
        <v>81589</v>
      </c>
      <c r="C37" s="14" t="n">
        <v>110285</v>
      </c>
      <c r="D37" s="14" t="n">
        <v>111377</v>
      </c>
      <c r="E37" s="14" t="n">
        <v>83161</v>
      </c>
      <c r="F37" s="14" t="n">
        <v>92319</v>
      </c>
      <c r="G37" s="14" t="n">
        <v>113193</v>
      </c>
      <c r="H37" s="14" t="n">
        <v>112190</v>
      </c>
      <c r="I37" s="14" t="n">
        <v>78547</v>
      </c>
      <c r="J37" s="14" t="n">
        <v>114309</v>
      </c>
      <c r="K37" s="14" t="n">
        <v>131370</v>
      </c>
    </row>
    <row r="38">
      <c r="A38" s="5" t="inlineStr">
        <is>
          <t>영업이익 (Operating income)</t>
        </is>
      </c>
      <c r="B38" s="14" t="n">
        <v>29241</v>
      </c>
      <c r="C38" s="14" t="n">
        <v>53645</v>
      </c>
      <c r="D38" s="14" t="n">
        <v>58887</v>
      </c>
      <c r="E38" s="14" t="n">
        <v>27769</v>
      </c>
      <c r="F38" s="14" t="n">
        <v>35994</v>
      </c>
      <c r="G38" s="14" t="n">
        <v>51634</v>
      </c>
      <c r="H38" s="14" t="n">
        <v>43377</v>
      </c>
      <c r="I38" s="14" t="n">
        <v>6567</v>
      </c>
      <c r="J38" s="14" t="n">
        <v>32726</v>
      </c>
      <c r="K38" s="14" t="n">
        <v>43601</v>
      </c>
    </row>
    <row r="39">
      <c r="A39" s="5" t="inlineStr">
        <is>
          <t>당기순이익 (Net income)</t>
        </is>
      </c>
      <c r="B39" s="14" t="n">
        <v>22726</v>
      </c>
      <c r="C39" s="14" t="n">
        <v>42187</v>
      </c>
      <c r="D39" s="14" t="n">
        <v>44345</v>
      </c>
      <c r="E39" s="14" t="n">
        <v>21739</v>
      </c>
      <c r="F39" s="14" t="n">
        <v>26408</v>
      </c>
      <c r="G39" s="14" t="n">
        <v>39244</v>
      </c>
      <c r="H39" s="14" t="n">
        <v>54730</v>
      </c>
      <c r="I39" s="14" t="n">
        <v>14473</v>
      </c>
      <c r="J39" s="14" t="n">
        <v>33621</v>
      </c>
      <c r="K39" s="14" t="n">
        <v>44261</v>
      </c>
    </row>
    <row r="40">
      <c r="A40" s="5" t="inlineStr">
        <is>
          <t>재고자산 (Inventories)</t>
        </is>
      </c>
      <c r="B40" s="14" t="n">
        <v>18354</v>
      </c>
      <c r="C40" s="14" t="n">
        <v>24983</v>
      </c>
      <c r="D40" s="14" t="n">
        <v>28985</v>
      </c>
      <c r="E40" s="14" t="n">
        <v>26766</v>
      </c>
      <c r="F40" s="14" t="n">
        <v>32043</v>
      </c>
      <c r="G40" s="14" t="n">
        <v>41384</v>
      </c>
      <c r="H40" s="14" t="n">
        <v>52188</v>
      </c>
      <c r="I40" s="14" t="n">
        <v>51626</v>
      </c>
      <c r="J40" s="14" t="n">
        <v>51755</v>
      </c>
      <c r="K40" s="14" t="n">
        <v>52637</v>
      </c>
    </row>
    <row r="41">
      <c r="A41" s="5" t="inlineStr">
        <is>
          <t>자산총계 (Total assets)</t>
        </is>
      </c>
      <c r="B41" s="14" t="n">
        <v>262174</v>
      </c>
      <c r="C41" s="14" t="n">
        <v>301752</v>
      </c>
      <c r="D41" s="14" t="n">
        <v>339357</v>
      </c>
      <c r="E41" s="14" t="n">
        <v>352564</v>
      </c>
      <c r="F41" s="14" t="n">
        <v>378236</v>
      </c>
      <c r="G41" s="14" t="n">
        <v>426621</v>
      </c>
      <c r="H41" s="14" t="n">
        <v>448425</v>
      </c>
      <c r="I41" s="14" t="n">
        <v>455906</v>
      </c>
      <c r="J41" s="14" t="n">
        <v>514532</v>
      </c>
      <c r="K41" s="14" t="n">
        <v>566942</v>
      </c>
    </row>
    <row r="42">
      <c r="A42" s="5" t="inlineStr">
        <is>
          <t>시가총액 · 연말 (Market cap, year-end)  [US$m]</t>
        </is>
      </c>
      <c r="B42" s="14" t="n">
        <v>203990</v>
      </c>
      <c r="C42" s="14" t="n">
        <v>319260</v>
      </c>
      <c r="D42" s="14" t="n">
        <v>230360</v>
      </c>
      <c r="E42" s="14" t="n">
        <v>319730</v>
      </c>
      <c r="F42" s="14" t="n">
        <v>500830</v>
      </c>
      <c r="G42" s="14" t="n">
        <v>442070</v>
      </c>
      <c r="H42" s="14" t="n">
        <v>293000</v>
      </c>
      <c r="I42" s="14" t="n">
        <v>401540</v>
      </c>
      <c r="J42" s="14" t="n">
        <v>242970</v>
      </c>
      <c r="K42" s="14" t="n">
        <v>542110</v>
      </c>
    </row>
    <row r="44">
      <c r="A44" s="3" t="inlineStr">
        <is>
          <t>마이크론 (Micron Technology) — 백만 달러 (US$m)</t>
        </is>
      </c>
      <c r="B44" s="13" t="inlineStr">
        <is>
          <t>FY16</t>
        </is>
      </c>
      <c r="C44" s="13" t="inlineStr">
        <is>
          <t>FY17</t>
        </is>
      </c>
      <c r="D44" s="13" t="inlineStr">
        <is>
          <t>FY18</t>
        </is>
      </c>
      <c r="E44" s="13" t="inlineStr">
        <is>
          <t>FY19</t>
        </is>
      </c>
      <c r="F44" s="13" t="inlineStr">
        <is>
          <t>FY20</t>
        </is>
      </c>
      <c r="G44" s="13" t="inlineStr">
        <is>
          <t>FY21</t>
        </is>
      </c>
      <c r="H44" s="13" t="inlineStr">
        <is>
          <t>FY22</t>
        </is>
      </c>
      <c r="I44" s="13" t="inlineStr">
        <is>
          <t>FY23</t>
        </is>
      </c>
      <c r="J44" s="13" t="inlineStr">
        <is>
          <t>FY24</t>
        </is>
      </c>
      <c r="K44" s="13" t="inlineStr">
        <is>
          <t>FY25</t>
        </is>
      </c>
    </row>
    <row r="45">
      <c r="A45" s="5" t="inlineStr">
        <is>
          <t>매출액 (Revenue)</t>
        </is>
      </c>
      <c r="B45" s="14" t="n">
        <v>12399</v>
      </c>
      <c r="C45" s="14" t="n">
        <v>20322</v>
      </c>
      <c r="D45" s="14" t="n">
        <v>30391</v>
      </c>
      <c r="E45" s="14" t="n">
        <v>23406</v>
      </c>
      <c r="F45" s="14" t="n">
        <v>21435</v>
      </c>
      <c r="G45" s="14" t="n">
        <v>27705</v>
      </c>
      <c r="H45" s="14" t="n">
        <v>30758</v>
      </c>
      <c r="I45" s="14" t="n">
        <v>15540</v>
      </c>
      <c r="J45" s="14" t="n">
        <v>25111</v>
      </c>
      <c r="K45" s="14" t="n">
        <v>37378</v>
      </c>
    </row>
    <row r="46">
      <c r="A46" s="5" t="inlineStr">
        <is>
          <t>매출총이익 (Gross profit)</t>
        </is>
      </c>
      <c r="B46" s="14" t="n">
        <v>2505</v>
      </c>
      <c r="C46" s="14" t="n">
        <v>8436</v>
      </c>
      <c r="D46" s="14" t="n">
        <v>17891</v>
      </c>
      <c r="E46" s="14" t="n">
        <v>10702</v>
      </c>
      <c r="F46" s="14" t="n">
        <v>6552</v>
      </c>
      <c r="G46" s="14" t="n">
        <v>10423</v>
      </c>
      <c r="H46" s="14" t="n">
        <v>13898</v>
      </c>
      <c r="I46" s="14" t="n">
        <v>-1416</v>
      </c>
      <c r="J46" s="14" t="n">
        <v>5613</v>
      </c>
      <c r="K46" s="14" t="n">
        <v>14873</v>
      </c>
    </row>
    <row r="47">
      <c r="A47" s="5" t="inlineStr">
        <is>
          <t>영업이익 (Operating income)</t>
        </is>
      </c>
      <c r="B47" s="14" t="n">
        <v>168</v>
      </c>
      <c r="C47" s="14" t="n">
        <v>5868</v>
      </c>
      <c r="D47" s="14" t="n">
        <v>14994</v>
      </c>
      <c r="E47" s="14" t="n">
        <v>7376</v>
      </c>
      <c r="F47" s="14" t="n">
        <v>3003</v>
      </c>
      <c r="G47" s="14" t="n">
        <v>6283</v>
      </c>
      <c r="H47" s="14" t="n">
        <v>9702</v>
      </c>
      <c r="I47" s="14" t="n">
        <v>-5745</v>
      </c>
      <c r="J47" s="14" t="n">
        <v>1304</v>
      </c>
      <c r="K47" s="14" t="n">
        <v>9770</v>
      </c>
    </row>
    <row r="48">
      <c r="A48" s="5" t="inlineStr">
        <is>
          <t>당기순이익 (Net income)</t>
        </is>
      </c>
      <c r="B48" s="14" t="n">
        <v>-276</v>
      </c>
      <c r="C48" s="14" t="n">
        <v>5089</v>
      </c>
      <c r="D48" s="14" t="n">
        <v>14135</v>
      </c>
      <c r="E48" s="14" t="n">
        <v>6313</v>
      </c>
      <c r="F48" s="14" t="n">
        <v>2687</v>
      </c>
      <c r="G48" s="14" t="n">
        <v>5861</v>
      </c>
      <c r="H48" s="14" t="n">
        <v>8687</v>
      </c>
      <c r="I48" s="14" t="n">
        <v>-5833</v>
      </c>
      <c r="J48" s="14" t="n">
        <v>778</v>
      </c>
      <c r="K48" s="14" t="n">
        <v>8539</v>
      </c>
    </row>
    <row r="49">
      <c r="A49" s="5" t="inlineStr">
        <is>
          <t>재고자산 (Inventories)</t>
        </is>
      </c>
      <c r="B49" s="14" t="n">
        <v>2889</v>
      </c>
      <c r="C49" s="14" t="n">
        <v>3123</v>
      </c>
      <c r="D49" s="14" t="n">
        <v>3595</v>
      </c>
      <c r="E49" s="14" t="n">
        <v>5118</v>
      </c>
      <c r="F49" s="14" t="n">
        <v>5607</v>
      </c>
      <c r="G49" s="14" t="n">
        <v>4487</v>
      </c>
      <c r="H49" s="14" t="n">
        <v>6663</v>
      </c>
      <c r="I49" s="14" t="n">
        <v>8387</v>
      </c>
      <c r="J49" s="14" t="n">
        <v>8875</v>
      </c>
      <c r="K49" s="14" t="n">
        <v>8355</v>
      </c>
    </row>
    <row r="50">
      <c r="A50" s="5" t="inlineStr">
        <is>
          <t>자산총계 (Total assets)</t>
        </is>
      </c>
      <c r="B50" s="14" t="n">
        <v>27540</v>
      </c>
      <c r="C50" s="14" t="n">
        <v>35336</v>
      </c>
      <c r="D50" s="14" t="n">
        <v>43376</v>
      </c>
      <c r="E50" s="14" t="n">
        <v>48887</v>
      </c>
      <c r="F50" s="14" t="n">
        <v>53678</v>
      </c>
      <c r="G50" s="14" t="n">
        <v>58849</v>
      </c>
      <c r="H50" s="14" t="n">
        <v>66283</v>
      </c>
      <c r="I50" s="14" t="n">
        <v>64254</v>
      </c>
      <c r="J50" s="14" t="n">
        <v>69416</v>
      </c>
      <c r="K50" s="14" t="n">
        <v>82798</v>
      </c>
    </row>
    <row r="51">
      <c r="A51" s="5" t="inlineStr">
        <is>
          <t>시가총액 · 연말 (Market cap, year-end)  [US$m]</t>
        </is>
      </c>
      <c r="B51" s="14" t="n">
        <v>24090</v>
      </c>
      <c r="C51" s="14" t="n">
        <v>47540</v>
      </c>
      <c r="D51" s="14" t="n">
        <v>35570</v>
      </c>
      <c r="E51" s="14" t="n">
        <v>59740</v>
      </c>
      <c r="F51" s="14" t="n">
        <v>83960</v>
      </c>
      <c r="G51" s="14" t="n">
        <v>104320</v>
      </c>
      <c r="H51" s="14" t="n">
        <v>54530</v>
      </c>
      <c r="I51" s="14" t="n">
        <v>94200</v>
      </c>
      <c r="J51" s="14" t="n">
        <v>98740</v>
      </c>
      <c r="K51" s="14" t="n">
        <v>320530</v>
      </c>
    </row>
  </sheetData>
  <mergeCells count="3">
    <mergeCell ref="X8:AG8"/>
    <mergeCell ref="B8:K8"/>
    <mergeCell ref="M8:V8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L12" sqref="L12"/>
    </sheetView>
  </sheetViews>
  <sheetFormatPr baseColWidth="8" defaultRowHeight="14.5"/>
  <cols>
    <col width="42" customWidth="1" style="20" min="1" max="1"/>
    <col width="9.453125" customWidth="1" style="20" min="2" max="21"/>
  </cols>
  <sheetData>
    <row r="1" ht="18" customHeight="1" s="20">
      <c r="A1" s="1" t="inlineStr">
        <is>
          <t>SK하이닉스 (SK hynix) — 분기 데이터 (Quarterly, 2016Q3~2026Q2)</t>
        </is>
      </c>
    </row>
    <row r="2">
      <c r="A2" s="2" t="inlineStr">
        <is>
          <t>단위: 십억 원 (KRW bn) · 2021Q3 이후 20개 분기만 채워져 있습니다 · 파란색 칸은 입력값입니다.</t>
        </is>
      </c>
    </row>
    <row r="4">
      <c r="A4" s="8" t="inlineStr">
        <is>
          <t>항목 (Metric)</t>
        </is>
      </c>
      <c r="B4" s="9" t="inlineStr">
        <is>
          <t>2021Q3</t>
        </is>
      </c>
      <c r="C4" s="9" t="inlineStr">
        <is>
          <t>2021Q4</t>
        </is>
      </c>
      <c r="D4" s="9" t="inlineStr">
        <is>
          <t>2022Q1</t>
        </is>
      </c>
      <c r="E4" s="9" t="inlineStr">
        <is>
          <t>2022Q2</t>
        </is>
      </c>
      <c r="F4" s="9" t="inlineStr">
        <is>
          <t>2022Q3</t>
        </is>
      </c>
      <c r="G4" s="9" t="inlineStr">
        <is>
          <t>2022Q4</t>
        </is>
      </c>
      <c r="H4" s="9" t="inlineStr">
        <is>
          <t>2023Q1</t>
        </is>
      </c>
      <c r="I4" s="9" t="inlineStr">
        <is>
          <t>2023Q2</t>
        </is>
      </c>
      <c r="J4" s="9" t="inlineStr">
        <is>
          <t>2023Q3</t>
        </is>
      </c>
      <c r="K4" s="9" t="inlineStr">
        <is>
          <t>2023Q4</t>
        </is>
      </c>
      <c r="L4" s="9" t="inlineStr">
        <is>
          <t>2024Q1</t>
        </is>
      </c>
      <c r="M4" s="9" t="inlineStr">
        <is>
          <t>2024Q2</t>
        </is>
      </c>
      <c r="N4" s="9" t="inlineStr">
        <is>
          <t>2024Q3</t>
        </is>
      </c>
      <c r="O4" s="9" t="inlineStr">
        <is>
          <t>2024Q4</t>
        </is>
      </c>
      <c r="P4" s="9" t="inlineStr">
        <is>
          <t>2025Q1</t>
        </is>
      </c>
      <c r="Q4" s="9" t="inlineStr">
        <is>
          <t>2025Q2</t>
        </is>
      </c>
      <c r="R4" s="9" t="inlineStr">
        <is>
          <t>2025Q3</t>
        </is>
      </c>
      <c r="S4" s="9" t="inlineStr">
        <is>
          <t>2025Q4</t>
        </is>
      </c>
      <c r="T4" s="9" t="inlineStr">
        <is>
          <t>2026Q1</t>
        </is>
      </c>
      <c r="U4" s="9" t="inlineStr">
        <is>
          <t>2026Q2</t>
        </is>
      </c>
    </row>
    <row r="5">
      <c r="A5" s="3" t="inlineStr">
        <is>
          <t>손익계산서 및 시장가치 (Income statement &amp; market value)</t>
        </is>
      </c>
    </row>
    <row r="6">
      <c r="A6" s="5" t="inlineStr">
        <is>
          <t>매출액 (Revenue)</t>
        </is>
      </c>
      <c r="B6" s="14" t="n">
        <v>11805</v>
      </c>
      <c r="C6" s="14" t="n">
        <v>12377</v>
      </c>
      <c r="D6" s="14" t="n">
        <v>12156</v>
      </c>
      <c r="E6" s="14" t="n">
        <v>13811</v>
      </c>
      <c r="F6" s="14" t="n">
        <v>10983</v>
      </c>
      <c r="G6" s="14" t="n">
        <v>7672</v>
      </c>
      <c r="H6" s="14" t="n">
        <v>5088</v>
      </c>
      <c r="I6" s="14" t="n">
        <v>7306</v>
      </c>
      <c r="J6" s="14" t="n">
        <v>9066</v>
      </c>
      <c r="K6" s="14" t="n">
        <v>11306</v>
      </c>
      <c r="L6" s="14" t="n">
        <v>12430</v>
      </c>
      <c r="M6" s="14" t="n">
        <v>16423</v>
      </c>
      <c r="N6" s="14" t="n">
        <v>17573</v>
      </c>
      <c r="O6" s="14" t="n">
        <v>19767</v>
      </c>
      <c r="P6" s="14" t="n">
        <v>17639</v>
      </c>
      <c r="Q6" s="14" t="n">
        <v>22232</v>
      </c>
      <c r="R6" s="14" t="n">
        <v>24449</v>
      </c>
      <c r="S6" s="14" t="n">
        <v>32827</v>
      </c>
      <c r="T6" s="14" t="n">
        <v>52576</v>
      </c>
      <c r="U6" s="14" t="n">
        <v>79319</v>
      </c>
    </row>
    <row r="7">
      <c r="A7" s="5" t="inlineStr">
        <is>
          <t>매출총이익 (Gross profit)</t>
        </is>
      </c>
      <c r="B7" s="14" t="n">
        <v>5831</v>
      </c>
      <c r="C7" s="14" t="n">
        <v>6053</v>
      </c>
      <c r="D7" s="14" t="n">
        <v>5401</v>
      </c>
      <c r="E7" s="14" t="n">
        <v>6338</v>
      </c>
      <c r="F7" s="14" t="n">
        <v>3866</v>
      </c>
      <c r="G7" s="14" t="n">
        <v>23</v>
      </c>
      <c r="H7" s="14" t="n">
        <v>-1645</v>
      </c>
      <c r="I7" s="14" t="n">
        <v>-1178</v>
      </c>
      <c r="J7" s="14" t="n">
        <v>64</v>
      </c>
      <c r="K7" s="14" t="n">
        <v>2226</v>
      </c>
      <c r="L7" s="14" t="n">
        <v>4795</v>
      </c>
      <c r="M7" s="14" t="n">
        <v>7496</v>
      </c>
      <c r="N7" s="14" t="n">
        <v>9171</v>
      </c>
      <c r="O7" s="14" t="n">
        <v>10366</v>
      </c>
      <c r="P7" s="14" t="n">
        <v>10102</v>
      </c>
      <c r="Q7" s="14" t="n">
        <v>11983</v>
      </c>
      <c r="R7" s="14" t="n">
        <v>14029</v>
      </c>
      <c r="S7" s="14" t="n">
        <v>22576</v>
      </c>
      <c r="T7" s="14" t="n">
        <v>41679</v>
      </c>
      <c r="U7" s="14" t="n">
        <v>65992</v>
      </c>
    </row>
    <row r="8">
      <c r="A8" s="5" t="inlineStr">
        <is>
          <t>영업이익 (Operating income)</t>
        </is>
      </c>
      <c r="B8" s="14" t="n">
        <v>4172</v>
      </c>
      <c r="C8" s="14" t="n">
        <v>4220</v>
      </c>
      <c r="D8" s="14" t="n">
        <v>2864</v>
      </c>
      <c r="E8" s="14" t="n">
        <v>4197</v>
      </c>
      <c r="F8" s="14" t="n">
        <v>1661</v>
      </c>
      <c r="G8" s="14" t="n">
        <v>-1912</v>
      </c>
      <c r="H8" s="14" t="n">
        <v>-3402</v>
      </c>
      <c r="I8" s="14" t="n">
        <v>-2882</v>
      </c>
      <c r="J8" s="14" t="n">
        <v>-1792</v>
      </c>
      <c r="K8" s="14" t="n">
        <v>346</v>
      </c>
      <c r="L8" s="14" t="n">
        <v>2886</v>
      </c>
      <c r="M8" s="14" t="n">
        <v>5469</v>
      </c>
      <c r="N8" s="14" t="n">
        <v>7030</v>
      </c>
      <c r="O8" s="14" t="n">
        <v>8083</v>
      </c>
      <c r="P8" s="14" t="n">
        <v>7441</v>
      </c>
      <c r="Q8" s="14" t="n">
        <v>9213</v>
      </c>
      <c r="R8" s="14" t="n">
        <v>11383</v>
      </c>
      <c r="S8" s="14" t="n">
        <v>19170</v>
      </c>
      <c r="T8" s="14" t="n">
        <v>37610</v>
      </c>
      <c r="U8" s="14" t="n">
        <v>60543</v>
      </c>
    </row>
    <row r="9">
      <c r="A9" s="5" t="inlineStr">
        <is>
          <t>당기순이익 (Net income)</t>
        </is>
      </c>
      <c r="B9" s="14" t="n">
        <v>3311</v>
      </c>
      <c r="C9" s="14" t="n">
        <v>3317</v>
      </c>
      <c r="D9" s="14" t="n">
        <v>1983</v>
      </c>
      <c r="E9" s="14" t="n">
        <v>2876</v>
      </c>
      <c r="F9" s="14" t="n">
        <v>1112</v>
      </c>
      <c r="G9" s="14" t="n">
        <v>-3741</v>
      </c>
      <c r="H9" s="14" t="n">
        <v>-2580</v>
      </c>
      <c r="I9" s="14" t="n">
        <v>-2991</v>
      </c>
      <c r="J9" s="14" t="n">
        <v>-2184</v>
      </c>
      <c r="K9" s="14" t="n">
        <v>-1357</v>
      </c>
      <c r="L9" s="14" t="n">
        <v>1919</v>
      </c>
      <c r="M9" s="14" t="n">
        <v>4120</v>
      </c>
      <c r="N9" s="14" t="n">
        <v>5749</v>
      </c>
      <c r="O9" s="14" t="n">
        <v>8000</v>
      </c>
      <c r="P9" s="14" t="n">
        <v>8107</v>
      </c>
      <c r="Q9" s="14" t="n">
        <v>6997</v>
      </c>
      <c r="R9" s="14" t="n">
        <v>12595</v>
      </c>
      <c r="S9" s="14" t="n">
        <v>15220</v>
      </c>
      <c r="T9" s="14" t="n">
        <v>40330</v>
      </c>
      <c r="U9" s="14" t="n">
        <v>93923</v>
      </c>
    </row>
    <row r="10">
      <c r="A10" s="5" t="inlineStr">
        <is>
          <t>시가총액 · 분기말 (Market cap, quarter-end)</t>
        </is>
      </c>
      <c r="B10" s="14" t="n">
        <v>70825</v>
      </c>
      <c r="C10" s="14" t="n">
        <v>90078</v>
      </c>
      <c r="D10" s="14" t="n">
        <v>81139</v>
      </c>
      <c r="E10" s="14" t="n">
        <v>62576</v>
      </c>
      <c r="F10" s="14" t="n">
        <v>57144</v>
      </c>
      <c r="G10" s="14" t="n">
        <v>51574</v>
      </c>
      <c r="H10" s="14" t="n">
        <v>60926</v>
      </c>
      <c r="I10" s="14" t="n">
        <v>79264</v>
      </c>
      <c r="J10" s="14" t="n">
        <v>78924</v>
      </c>
      <c r="K10" s="14" t="n">
        <v>97368</v>
      </c>
      <c r="L10" s="14" t="n">
        <v>125929</v>
      </c>
      <c r="M10" s="14" t="n">
        <v>162745</v>
      </c>
      <c r="N10" s="14" t="n">
        <v>120233</v>
      </c>
      <c r="O10" s="14" t="n">
        <v>119824</v>
      </c>
      <c r="P10" s="14" t="n">
        <v>131400</v>
      </c>
      <c r="Q10" s="14" t="n">
        <v>201581</v>
      </c>
      <c r="R10" s="14" t="n">
        <v>239918</v>
      </c>
      <c r="S10" s="14" t="n">
        <v>449486</v>
      </c>
      <c r="T10" s="14" t="n">
        <v>566265</v>
      </c>
      <c r="U10" s="14" t="n">
        <v>1876987</v>
      </c>
    </row>
    <row r="11">
      <c r="A11" s="4" t="inlineStr">
        <is>
          <t>PE ratio  (당기순이익 ÷ 시가총액)</t>
        </is>
      </c>
      <c r="B11" s="15">
        <f>IF(OR(B9="",B10=""),"",B9/B10)</f>
        <v/>
      </c>
      <c r="C11" s="15">
        <f>IF(OR(C9="",C10=""),"",C9/C10)</f>
        <v/>
      </c>
      <c r="D11" s="15">
        <f>IF(OR(D9="",D10=""),"",D9/D10)</f>
        <v/>
      </c>
      <c r="E11" s="15">
        <f>IF(OR(E9="",E10=""),"",E9/E10)</f>
        <v/>
      </c>
      <c r="F11" s="15">
        <f>IF(OR(F9="",F10=""),"",F9/F10)</f>
        <v/>
      </c>
      <c r="G11" s="15">
        <f>IF(OR(G9="",G10=""),"",G9/G10)</f>
        <v/>
      </c>
      <c r="H11" s="15">
        <f>IF(OR(H9="",H10=""),"",H9/H10)</f>
        <v/>
      </c>
      <c r="I11" s="15">
        <f>IF(OR(I9="",I10=""),"",I9/I10)</f>
        <v/>
      </c>
      <c r="J11" s="15">
        <f>IF(OR(J9="",J10=""),"",J9/J10)</f>
        <v/>
      </c>
      <c r="K11" s="15">
        <f>IF(OR(K9="",K10=""),"",K9/K10)</f>
        <v/>
      </c>
      <c r="L11" s="15">
        <f>IF(OR(L9="",L10=""),"",L9/L10)</f>
        <v/>
      </c>
      <c r="M11" s="15">
        <f>IF(OR(M9="",M10=""),"",M9/M10)</f>
        <v/>
      </c>
      <c r="N11" s="15">
        <f>IF(OR(N9="",N10=""),"",N9/N10)</f>
        <v/>
      </c>
      <c r="O11" s="15">
        <f>IF(OR(O9="",O10=""),"",O9/O10)</f>
        <v/>
      </c>
      <c r="P11" s="15">
        <f>IF(OR(P9="",P10=""),"",P9/P10)</f>
        <v/>
      </c>
      <c r="Q11" s="15">
        <f>IF(OR(Q9="",Q10=""),"",Q9/Q10)</f>
        <v/>
      </c>
      <c r="R11" s="15">
        <f>IF(OR(R9="",R10=""),"",R9/R10)</f>
        <v/>
      </c>
      <c r="S11" s="15">
        <f>IF(OR(S9="",S10=""),"",S9/S10)</f>
        <v/>
      </c>
      <c r="T11" s="15">
        <f>IF(OR(T9="",T10=""),"",T9/T10)</f>
        <v/>
      </c>
      <c r="U11" s="15">
        <f>IF(OR(U9="",U10=""),"",U9/U10)</f>
        <v/>
      </c>
    </row>
    <row r="12">
      <c r="A12" s="5" t="inlineStr">
        <is>
          <t>참고: 통상적 P/E  (시가총액 ÷ 당기순이익)</t>
        </is>
      </c>
      <c r="B12" s="16">
        <f>IF(OR(B9="",B10="",N(B9)&lt;=0),"",B10/B9)</f>
        <v/>
      </c>
      <c r="C12" s="16">
        <f>IF(OR(C9="",C10="",N(C9)&lt;=0),"",C10/C9)</f>
        <v/>
      </c>
      <c r="D12" s="16">
        <f>IF(OR(D9="",D10="",N(D9)&lt;=0),"",D10/D9)</f>
        <v/>
      </c>
      <c r="E12" s="16">
        <f>IF(OR(E9="",E10="",N(E9)&lt;=0),"",E10/E9)</f>
        <v/>
      </c>
      <c r="F12" s="16">
        <f>IF(OR(F9="",F10="",N(F9)&lt;=0),"",F10/F9)</f>
        <v/>
      </c>
      <c r="G12" s="16">
        <f>IF(OR(G9="",G10="",N(G9)&lt;=0),"",G10/G9)</f>
        <v/>
      </c>
      <c r="H12" s="16">
        <f>IF(OR(H9="",H10="",N(H9)&lt;=0),"",H10/H9)</f>
        <v/>
      </c>
      <c r="I12" s="16">
        <f>IF(OR(I9="",I10="",N(I9)&lt;=0),"",I10/I9)</f>
        <v/>
      </c>
      <c r="J12" s="16">
        <f>IF(OR(J9="",J10="",N(J9)&lt;=0),"",J10/J9)</f>
        <v/>
      </c>
      <c r="K12" s="16">
        <f>IF(OR(K9="",K10="",N(K9)&lt;=0),"",K10/K9)</f>
        <v/>
      </c>
      <c r="L12" s="16">
        <f>IF(OR(L9="",L10="",N(L9)&lt;=0),"",L10/L9)</f>
        <v/>
      </c>
      <c r="M12" s="16">
        <f>IF(OR(M9="",M10="",N(M9)&lt;=0),"",M10/M9)</f>
        <v/>
      </c>
      <c r="N12" s="16">
        <f>IF(OR(N9="",N10="",N(N9)&lt;=0),"",N10/N9)</f>
        <v/>
      </c>
      <c r="O12" s="16">
        <f>IF(OR(O9="",O10="",N(O9)&lt;=0),"",O10/O9)</f>
        <v/>
      </c>
      <c r="P12" s="16">
        <f>IF(OR(P9="",P10="",N(P9)&lt;=0),"",P10/P9)</f>
        <v/>
      </c>
      <c r="Q12" s="16">
        <f>IF(OR(Q9="",Q10="",N(Q9)&lt;=0),"",Q10/Q9)</f>
        <v/>
      </c>
      <c r="R12" s="16">
        <f>IF(OR(R9="",R10="",N(R9)&lt;=0),"",R10/R9)</f>
        <v/>
      </c>
      <c r="S12" s="16">
        <f>IF(OR(S9="",S10="",N(S9)&lt;=0),"",S10/S9)</f>
        <v/>
      </c>
      <c r="T12" s="16">
        <f>IF(OR(T9="",T10="",N(T9)&lt;=0),"",T10/T9)</f>
        <v/>
      </c>
      <c r="U12" s="16">
        <f>IF(OR(U9="",U10="",N(U9)&lt;=0),"",U10/U9)</f>
        <v/>
      </c>
    </row>
    <row r="14">
      <c r="A14" s="3" t="inlineStr">
        <is>
          <t>재무상태표 (Balance sheet, 기말)</t>
        </is>
      </c>
    </row>
    <row r="15">
      <c r="A15" s="5" t="inlineStr">
        <is>
          <t>재고자산 (Inventories)</t>
        </is>
      </c>
      <c r="B15" s="14" t="n">
        <v>6600</v>
      </c>
      <c r="C15" s="14" t="n">
        <v>8950</v>
      </c>
      <c r="D15" s="14" t="n">
        <v>10393</v>
      </c>
      <c r="E15" s="14" t="n">
        <v>11879</v>
      </c>
      <c r="F15" s="14" t="n">
        <v>14665</v>
      </c>
      <c r="G15" s="14" t="n">
        <v>15665</v>
      </c>
      <c r="H15" s="14" t="n">
        <v>17182</v>
      </c>
      <c r="I15" s="14" t="n">
        <v>16420</v>
      </c>
      <c r="J15" s="14" t="n">
        <v>14948</v>
      </c>
      <c r="K15" s="14" t="n">
        <v>13481</v>
      </c>
      <c r="L15" s="14" t="n">
        <v>13845</v>
      </c>
      <c r="M15" s="14" t="n">
        <v>13355</v>
      </c>
      <c r="N15" s="14" t="n">
        <v>13354</v>
      </c>
      <c r="O15" s="14" t="n">
        <v>13314</v>
      </c>
      <c r="P15" s="14" t="n">
        <v>14551</v>
      </c>
      <c r="Q15" s="14" t="n">
        <v>13408</v>
      </c>
      <c r="R15" s="14" t="n">
        <v>13156</v>
      </c>
      <c r="S15" s="14" t="n">
        <v>14289</v>
      </c>
      <c r="T15" s="14" t="n">
        <v>15974</v>
      </c>
      <c r="U15" s="14" t="n">
        <v>17986</v>
      </c>
    </row>
    <row r="16">
      <c r="A16" s="5" t="inlineStr">
        <is>
          <t>자산총계 (Total assets)</t>
        </is>
      </c>
      <c r="B16" s="14" t="n">
        <v>83269</v>
      </c>
      <c r="C16" s="14" t="n">
        <v>96347</v>
      </c>
      <c r="D16" s="14" t="n">
        <v>99466</v>
      </c>
      <c r="E16" s="14" t="n">
        <v>104148</v>
      </c>
      <c r="F16" s="14" t="n">
        <v>109546</v>
      </c>
      <c r="G16" s="14" t="n">
        <v>103872</v>
      </c>
      <c r="H16" s="14" t="n">
        <v>104385</v>
      </c>
      <c r="I16" s="14" t="n">
        <v>102819</v>
      </c>
      <c r="J16" s="14" t="n">
        <v>102049</v>
      </c>
      <c r="K16" s="14" t="n">
        <v>100330</v>
      </c>
      <c r="L16" s="14" t="n">
        <v>103198</v>
      </c>
      <c r="M16" s="14" t="n">
        <v>105624</v>
      </c>
      <c r="N16" s="14" t="n">
        <v>108367</v>
      </c>
      <c r="O16" s="14" t="n">
        <v>119855</v>
      </c>
      <c r="P16" s="14" t="n">
        <v>123985</v>
      </c>
      <c r="Q16" s="14" t="n">
        <v>129088</v>
      </c>
      <c r="R16" s="14" t="n">
        <v>148435</v>
      </c>
      <c r="S16" s="14" t="n">
        <v>176108</v>
      </c>
      <c r="T16" s="14" t="n">
        <v>222829</v>
      </c>
      <c r="U16" s="14" t="n">
        <v>348862</v>
      </c>
    </row>
    <row r="18">
      <c r="A18" s="3" t="inlineStr">
        <is>
          <t>비율 (Ratios)</t>
        </is>
      </c>
    </row>
    <row r="19">
      <c r="A19" s="4" t="inlineStr">
        <is>
          <t>Gross profit margin  (영업이익 ÷ 매출액)</t>
        </is>
      </c>
      <c r="B19" s="15">
        <f>IF(OR(B8="",B6=""),"",B8/B6)</f>
        <v/>
      </c>
      <c r="C19" s="15">
        <f>IF(OR(C8="",C6=""),"",C8/C6)</f>
        <v/>
      </c>
      <c r="D19" s="15">
        <f>IF(OR(D8="",D6=""),"",D8/D6)</f>
        <v/>
      </c>
      <c r="E19" s="15">
        <f>IF(OR(E8="",E6=""),"",E8/E6)</f>
        <v/>
      </c>
      <c r="F19" s="15">
        <f>IF(OR(F8="",F6=""),"",F8/F6)</f>
        <v/>
      </c>
      <c r="G19" s="15">
        <f>IF(OR(G8="",G6=""),"",G8/G6)</f>
        <v/>
      </c>
      <c r="H19" s="15">
        <f>IF(OR(H8="",H6=""),"",H8/H6)</f>
        <v/>
      </c>
      <c r="I19" s="15">
        <f>IF(OR(I8="",I6=""),"",I8/I6)</f>
        <v/>
      </c>
      <c r="J19" s="15">
        <f>IF(OR(J8="",J6=""),"",J8/J6)</f>
        <v/>
      </c>
      <c r="K19" s="15">
        <f>IF(OR(K8="",K6=""),"",K8/K6)</f>
        <v/>
      </c>
      <c r="L19" s="15">
        <f>IF(OR(L8="",L6=""),"",L8/L6)</f>
        <v/>
      </c>
      <c r="M19" s="15">
        <f>IF(OR(M8="",M6=""),"",M8/M6)</f>
        <v/>
      </c>
      <c r="N19" s="15">
        <f>IF(OR(N8="",N6=""),"",N8/N6)</f>
        <v/>
      </c>
      <c r="O19" s="15">
        <f>IF(OR(O8="",O6=""),"",O8/O6)</f>
        <v/>
      </c>
      <c r="P19" s="15">
        <f>IF(OR(P8="",P6=""),"",P8/P6)</f>
        <v/>
      </c>
      <c r="Q19" s="15">
        <f>IF(OR(Q8="",Q6=""),"",Q8/Q6)</f>
        <v/>
      </c>
      <c r="R19" s="15">
        <f>IF(OR(R8="",R6=""),"",R8/R6)</f>
        <v/>
      </c>
      <c r="S19" s="15">
        <f>IF(OR(S8="",S6=""),"",S8/S6)</f>
        <v/>
      </c>
      <c r="T19" s="15">
        <f>IF(OR(T8="",T6=""),"",T8/T6)</f>
        <v/>
      </c>
      <c r="U19" s="15">
        <f>IF(OR(U8="",U6=""),"",U8/U6)</f>
        <v/>
      </c>
    </row>
    <row r="20">
      <c r="A20" s="4" t="inlineStr">
        <is>
          <t>Profit margin  (당기순이익 ÷ 매출액)</t>
        </is>
      </c>
      <c r="B20" s="15">
        <f>IF(OR(B9="",B6=""),"",B9/B6)</f>
        <v/>
      </c>
      <c r="C20" s="15">
        <f>IF(OR(C9="",C6=""),"",C9/C6)</f>
        <v/>
      </c>
      <c r="D20" s="15">
        <f>IF(OR(D9="",D6=""),"",D9/D6)</f>
        <v/>
      </c>
      <c r="E20" s="15">
        <f>IF(OR(E9="",E6=""),"",E9/E6)</f>
        <v/>
      </c>
      <c r="F20" s="15">
        <f>IF(OR(F9="",F6=""),"",F9/F6)</f>
        <v/>
      </c>
      <c r="G20" s="15">
        <f>IF(OR(G9="",G6=""),"",G9/G6)</f>
        <v/>
      </c>
      <c r="H20" s="15">
        <f>IF(OR(H9="",H6=""),"",H9/H6)</f>
        <v/>
      </c>
      <c r="I20" s="15">
        <f>IF(OR(I9="",I6=""),"",I9/I6)</f>
        <v/>
      </c>
      <c r="J20" s="15">
        <f>IF(OR(J9="",J6=""),"",J9/J6)</f>
        <v/>
      </c>
      <c r="K20" s="15">
        <f>IF(OR(K9="",K6=""),"",K9/K6)</f>
        <v/>
      </c>
      <c r="L20" s="15">
        <f>IF(OR(L9="",L6=""),"",L9/L6)</f>
        <v/>
      </c>
      <c r="M20" s="15">
        <f>IF(OR(M9="",M6=""),"",M9/M6)</f>
        <v/>
      </c>
      <c r="N20" s="15">
        <f>IF(OR(N9="",N6=""),"",N9/N6)</f>
        <v/>
      </c>
      <c r="O20" s="15">
        <f>IF(OR(O9="",O6=""),"",O9/O6)</f>
        <v/>
      </c>
      <c r="P20" s="15">
        <f>IF(OR(P9="",P6=""),"",P9/P6)</f>
        <v/>
      </c>
      <c r="Q20" s="15">
        <f>IF(OR(Q9="",Q6=""),"",Q9/Q6)</f>
        <v/>
      </c>
      <c r="R20" s="15">
        <f>IF(OR(R9="",R6=""),"",R9/R6)</f>
        <v/>
      </c>
      <c r="S20" s="15">
        <f>IF(OR(S9="",S6=""),"",S9/S6)</f>
        <v/>
      </c>
      <c r="T20" s="15">
        <f>IF(OR(T9="",T6=""),"",T9/T6)</f>
        <v/>
      </c>
      <c r="U20" s="15">
        <f>IF(OR(U9="",U6=""),"",U9/U6)</f>
        <v/>
      </c>
    </row>
    <row r="21">
      <c r="A21" s="4" t="inlineStr">
        <is>
          <t>재고자산 / 자산총계  (Inventory ÷ total assets)</t>
        </is>
      </c>
      <c r="B21" s="15">
        <f>IF(OR(B15="",B16=""),"",B15/B16)</f>
        <v/>
      </c>
      <c r="C21" s="15">
        <f>IF(OR(C15="",C16=""),"",C15/C16)</f>
        <v/>
      </c>
      <c r="D21" s="15">
        <f>IF(OR(D15="",D16=""),"",D15/D16)</f>
        <v/>
      </c>
      <c r="E21" s="15">
        <f>IF(OR(E15="",E16=""),"",E15/E16)</f>
        <v/>
      </c>
      <c r="F21" s="15">
        <f>IF(OR(F15="",F16=""),"",F15/F16)</f>
        <v/>
      </c>
      <c r="G21" s="15">
        <f>IF(OR(G15="",G16=""),"",G15/G16)</f>
        <v/>
      </c>
      <c r="H21" s="15">
        <f>IF(OR(H15="",H16=""),"",H15/H16)</f>
        <v/>
      </c>
      <c r="I21" s="15">
        <f>IF(OR(I15="",I16=""),"",I15/I16)</f>
        <v/>
      </c>
      <c r="J21" s="15">
        <f>IF(OR(J15="",J16=""),"",J15/J16)</f>
        <v/>
      </c>
      <c r="K21" s="15">
        <f>IF(OR(K15="",K16=""),"",K15/K16)</f>
        <v/>
      </c>
      <c r="L21" s="15">
        <f>IF(OR(L15="",L16=""),"",L15/L16)</f>
        <v/>
      </c>
      <c r="M21" s="15">
        <f>IF(OR(M15="",M16=""),"",M15/M16)</f>
        <v/>
      </c>
      <c r="N21" s="15">
        <f>IF(OR(N15="",N16=""),"",N15/N16)</f>
        <v/>
      </c>
      <c r="O21" s="15">
        <f>IF(OR(O15="",O16=""),"",O15/O16)</f>
        <v/>
      </c>
      <c r="P21" s="15">
        <f>IF(OR(P15="",P16=""),"",P15/P16)</f>
        <v/>
      </c>
      <c r="Q21" s="15">
        <f>IF(OR(Q15="",Q16=""),"",Q15/Q16)</f>
        <v/>
      </c>
      <c r="R21" s="15">
        <f>IF(OR(R15="",R16=""),"",R15/R16)</f>
        <v/>
      </c>
      <c r="S21" s="15">
        <f>IF(OR(S15="",S16=""),"",S15/S16)</f>
        <v/>
      </c>
      <c r="T21" s="15">
        <f>IF(OR(T15="",T16=""),"",T15/T16)</f>
        <v/>
      </c>
      <c r="U21" s="15">
        <f>IF(OR(U15="",U16=""),"",U15/U16)</f>
        <v/>
      </c>
    </row>
    <row r="22">
      <c r="A22" s="5" t="inlineStr">
        <is>
          <t>참고: 매출총이익률  (매출총이익 ÷ 매출액)</t>
        </is>
      </c>
      <c r="B22" s="15">
        <f>IF(OR(B7="",B6=""),"",B7/B6)</f>
        <v/>
      </c>
      <c r="C22" s="15">
        <f>IF(OR(C7="",C6=""),"",C7/C6)</f>
        <v/>
      </c>
      <c r="D22" s="15">
        <f>IF(OR(D7="",D6=""),"",D7/D6)</f>
        <v/>
      </c>
      <c r="E22" s="15">
        <f>IF(OR(E7="",E6=""),"",E7/E6)</f>
        <v/>
      </c>
      <c r="F22" s="15">
        <f>IF(OR(F7="",F6=""),"",F7/F6)</f>
        <v/>
      </c>
      <c r="G22" s="15">
        <f>IF(OR(G7="",G6=""),"",G7/G6)</f>
        <v/>
      </c>
      <c r="H22" s="15">
        <f>IF(OR(H7="",H6=""),"",H7/H6)</f>
        <v/>
      </c>
      <c r="I22" s="15">
        <f>IF(OR(I7="",I6=""),"",I7/I6)</f>
        <v/>
      </c>
      <c r="J22" s="15">
        <f>IF(OR(J7="",J6=""),"",J7/J6)</f>
        <v/>
      </c>
      <c r="K22" s="15">
        <f>IF(OR(K7="",K6=""),"",K7/K6)</f>
        <v/>
      </c>
      <c r="L22" s="15">
        <f>IF(OR(L7="",L6=""),"",L7/L6)</f>
        <v/>
      </c>
      <c r="M22" s="15">
        <f>IF(OR(M7="",M6=""),"",M7/M6)</f>
        <v/>
      </c>
      <c r="N22" s="15">
        <f>IF(OR(N7="",N6=""),"",N7/N6)</f>
        <v/>
      </c>
      <c r="O22" s="15">
        <f>IF(OR(O7="",O6=""),"",O7/O6)</f>
        <v/>
      </c>
      <c r="P22" s="15">
        <f>IF(OR(P7="",P6=""),"",P7/P6)</f>
        <v/>
      </c>
      <c r="Q22" s="15">
        <f>IF(OR(Q7="",Q6=""),"",Q7/Q6)</f>
        <v/>
      </c>
      <c r="R22" s="15">
        <f>IF(OR(R7="",R6=""),"",R7/R6)</f>
        <v/>
      </c>
      <c r="S22" s="15">
        <f>IF(OR(S7="",S6=""),"",S7/S6)</f>
        <v/>
      </c>
      <c r="T22" s="15">
        <f>IF(OR(T7="",T6=""),"",T7/T6)</f>
        <v/>
      </c>
      <c r="U22" s="15">
        <f>IF(OR(U7="",U6=""),"",U7/U6)</f>
        <v/>
      </c>
    </row>
    <row r="24">
      <c r="A24" s="3" t="inlineStr">
        <is>
          <t>US$ 환산 (Converted to US$ millions)</t>
        </is>
      </c>
    </row>
    <row r="25">
      <c r="A25" s="5" t="inlineStr">
        <is>
          <t>적용환율 · 분기말 KRW/USD (FX rate applied)</t>
        </is>
      </c>
      <c r="B25" s="7" t="n">
        <v>1188.8</v>
      </c>
      <c r="C25" s="7" t="n">
        <v>1188.8</v>
      </c>
      <c r="D25" s="7" t="n">
        <v>1267.3</v>
      </c>
      <c r="E25" s="7" t="n">
        <v>1267.3</v>
      </c>
      <c r="F25" s="7" t="n">
        <v>1267.3</v>
      </c>
      <c r="G25" s="7" t="n">
        <v>1267.3</v>
      </c>
      <c r="H25" s="7" t="n">
        <v>1288</v>
      </c>
      <c r="I25" s="7" t="n">
        <v>1288</v>
      </c>
      <c r="J25" s="7" t="n">
        <v>1288</v>
      </c>
      <c r="K25" s="7" t="n">
        <v>1288</v>
      </c>
      <c r="L25" s="7" t="n">
        <v>1470</v>
      </c>
      <c r="M25" s="7" t="n">
        <v>1470</v>
      </c>
      <c r="N25" s="7" t="n">
        <v>1470</v>
      </c>
      <c r="O25" s="7" t="n">
        <v>1470</v>
      </c>
      <c r="P25" s="7" t="n">
        <v>1439</v>
      </c>
      <c r="Q25" s="7" t="n">
        <v>1439</v>
      </c>
      <c r="R25" s="7" t="n">
        <v>1439</v>
      </c>
      <c r="S25" s="7" t="n">
        <v>1439</v>
      </c>
      <c r="T25" s="7" t="n">
        <v>1537.15</v>
      </c>
      <c r="U25" s="7" t="n">
        <v>1545</v>
      </c>
    </row>
    <row r="26">
      <c r="A26" s="5" t="inlineStr">
        <is>
          <t>재고자산 (Inventories, US$m)</t>
        </is>
      </c>
      <c r="B26" s="10">
        <f>IF(OR(B15="",B25=""),"",B15*1000/B25)</f>
        <v/>
      </c>
      <c r="C26" s="10">
        <f>IF(OR(C15="",C25=""),"",C15*1000/C25)</f>
        <v/>
      </c>
      <c r="D26" s="10">
        <f>IF(OR(D15="",D25=""),"",D15*1000/D25)</f>
        <v/>
      </c>
      <c r="E26" s="10">
        <f>IF(OR(E15="",E25=""),"",E15*1000/E25)</f>
        <v/>
      </c>
      <c r="F26" s="10">
        <f>IF(OR(F15="",F25=""),"",F15*1000/F25)</f>
        <v/>
      </c>
      <c r="G26" s="10">
        <f>IF(OR(G15="",G25=""),"",G15*1000/G25)</f>
        <v/>
      </c>
      <c r="H26" s="10">
        <f>IF(OR(H15="",H25=""),"",H15*1000/H25)</f>
        <v/>
      </c>
      <c r="I26" s="10">
        <f>IF(OR(I15="",I25=""),"",I15*1000/I25)</f>
        <v/>
      </c>
      <c r="J26" s="10">
        <f>IF(OR(J15="",J25=""),"",J15*1000/J25)</f>
        <v/>
      </c>
      <c r="K26" s="10">
        <f>IF(OR(K15="",K25=""),"",K15*1000/K25)</f>
        <v/>
      </c>
      <c r="L26" s="10">
        <f>IF(OR(L15="",L25=""),"",L15*1000/L25)</f>
        <v/>
      </c>
      <c r="M26" s="10">
        <f>IF(OR(M15="",M25=""),"",M15*1000/M25)</f>
        <v/>
      </c>
      <c r="N26" s="10">
        <f>IF(OR(N15="",N25=""),"",N15*1000/N25)</f>
        <v/>
      </c>
      <c r="O26" s="10">
        <f>IF(OR(O15="",O25=""),"",O15*1000/O25)</f>
        <v/>
      </c>
      <c r="P26" s="10">
        <f>IF(OR(P15="",P25=""),"",P15*1000/P25)</f>
        <v/>
      </c>
      <c r="Q26" s="10">
        <f>IF(OR(Q15="",Q25=""),"",Q15*1000/Q25)</f>
        <v/>
      </c>
      <c r="R26" s="10">
        <f>IF(OR(R15="",R25=""),"",R15*1000/R25)</f>
        <v/>
      </c>
      <c r="S26" s="10">
        <f>IF(OR(S15="",S25=""),"",S15*1000/S25)</f>
        <v/>
      </c>
      <c r="T26" s="10">
        <f>IF(OR(T15="",T25=""),"",T15*1000/T25)</f>
        <v/>
      </c>
      <c r="U26" s="10">
        <f>IF(OR(U15="",U25=""),"",U15*1000/U25)</f>
        <v/>
      </c>
    </row>
    <row r="27">
      <c r="A27" s="5" t="inlineStr">
        <is>
          <t>영업이익 (Operating income, US$m)</t>
        </is>
      </c>
      <c r="B27" s="10">
        <f>IF(OR(B8="",B25=""),"",B8*1000/B25)</f>
        <v/>
      </c>
      <c r="C27" s="10">
        <f>IF(OR(C8="",C25=""),"",C8*1000/C25)</f>
        <v/>
      </c>
      <c r="D27" s="10">
        <f>IF(OR(D8="",D25=""),"",D8*1000/D25)</f>
        <v/>
      </c>
      <c r="E27" s="10">
        <f>IF(OR(E8="",E25=""),"",E8*1000/E25)</f>
        <v/>
      </c>
      <c r="F27" s="10">
        <f>IF(OR(F8="",F25=""),"",F8*1000/F25)</f>
        <v/>
      </c>
      <c r="G27" s="10">
        <f>IF(OR(G8="",G25=""),"",G8*1000/G25)</f>
        <v/>
      </c>
      <c r="H27" s="10">
        <f>IF(OR(H8="",H25=""),"",H8*1000/H25)</f>
        <v/>
      </c>
      <c r="I27" s="10">
        <f>IF(OR(I8="",I25=""),"",I8*1000/I25)</f>
        <v/>
      </c>
      <c r="J27" s="10">
        <f>IF(OR(J8="",J25=""),"",J8*1000/J25)</f>
        <v/>
      </c>
      <c r="K27" s="10">
        <f>IF(OR(K8="",K25=""),"",K8*1000/K25)</f>
        <v/>
      </c>
      <c r="L27" s="10">
        <f>IF(OR(L8="",L25=""),"",L8*1000/L25)</f>
        <v/>
      </c>
      <c r="M27" s="10">
        <f>IF(OR(M8="",M25=""),"",M8*1000/M25)</f>
        <v/>
      </c>
      <c r="N27" s="10">
        <f>IF(OR(N8="",N25=""),"",N8*1000/N25)</f>
        <v/>
      </c>
      <c r="O27" s="10">
        <f>IF(OR(O8="",O25=""),"",O8*1000/O25)</f>
        <v/>
      </c>
      <c r="P27" s="10">
        <f>IF(OR(P8="",P25=""),"",P8*1000/P25)</f>
        <v/>
      </c>
      <c r="Q27" s="10">
        <f>IF(OR(Q8="",Q25=""),"",Q8*1000/Q25)</f>
        <v/>
      </c>
      <c r="R27" s="10">
        <f>IF(OR(R8="",R25=""),"",R8*1000/R25)</f>
        <v/>
      </c>
      <c r="S27" s="10">
        <f>IF(OR(S8="",S25=""),"",S8*1000/S25)</f>
        <v/>
      </c>
      <c r="T27" s="10">
        <f>IF(OR(T8="",T25=""),"",T8*1000/T25)</f>
        <v/>
      </c>
      <c r="U27" s="10">
        <f>IF(OR(U8="",U25=""),"",U8*1000/U25)</f>
        <v/>
      </c>
    </row>
    <row r="28">
      <c r="A28" s="5" t="inlineStr">
        <is>
          <t>시가총액 (Market cap, US$m)</t>
        </is>
      </c>
      <c r="B28" s="10">
        <f>IF(OR(B10="",B25=""),"",B10*1000/B25)</f>
        <v/>
      </c>
      <c r="C28" s="10">
        <f>IF(OR(C10="",C25=""),"",C10*1000/C25)</f>
        <v/>
      </c>
      <c r="D28" s="10">
        <f>IF(OR(D10="",D25=""),"",D10*1000/D25)</f>
        <v/>
      </c>
      <c r="E28" s="10">
        <f>IF(OR(E10="",E25=""),"",E10*1000/E25)</f>
        <v/>
      </c>
      <c r="F28" s="10">
        <f>IF(OR(F10="",F25=""),"",F10*1000/F25)</f>
        <v/>
      </c>
      <c r="G28" s="10">
        <f>IF(OR(G10="",G25=""),"",G10*1000/G25)</f>
        <v/>
      </c>
      <c r="H28" s="10">
        <f>IF(OR(H10="",H25=""),"",H10*1000/H25)</f>
        <v/>
      </c>
      <c r="I28" s="10">
        <f>IF(OR(I10="",I25=""),"",I10*1000/I25)</f>
        <v/>
      </c>
      <c r="J28" s="10">
        <f>IF(OR(J10="",J25=""),"",J10*1000/J25)</f>
        <v/>
      </c>
      <c r="K28" s="10">
        <f>IF(OR(K10="",K25=""),"",K10*1000/K25)</f>
        <v/>
      </c>
      <c r="L28" s="10">
        <f>IF(OR(L10="",L25=""),"",L10*1000/L25)</f>
        <v/>
      </c>
      <c r="M28" s="10">
        <f>IF(OR(M10="",M25=""),"",M10*1000/M25)</f>
        <v/>
      </c>
      <c r="N28" s="10">
        <f>IF(OR(N10="",N25=""),"",N10*1000/N25)</f>
        <v/>
      </c>
      <c r="O28" s="10">
        <f>IF(OR(O10="",O25=""),"",O10*1000/O25)</f>
        <v/>
      </c>
      <c r="P28" s="10">
        <f>IF(OR(P10="",P25=""),"",P10*1000/P25)</f>
        <v/>
      </c>
      <c r="Q28" s="10">
        <f>IF(OR(Q10="",Q25=""),"",Q10*1000/Q25)</f>
        <v/>
      </c>
      <c r="R28" s="10">
        <f>IF(OR(R10="",R25=""),"",R10*1000/R25)</f>
        <v/>
      </c>
      <c r="S28" s="10">
        <f>IF(OR(S10="",S25=""),"",S10*1000/S25)</f>
        <v/>
      </c>
      <c r="T28" s="10">
        <f>IF(OR(T10="",T25=""),"",T10*1000/T25)</f>
        <v/>
      </c>
      <c r="U28" s="10">
        <f>IF(OR(U10="",U25=""),"",U10*1000/U25)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19" sqref="I19"/>
    </sheetView>
  </sheetViews>
  <sheetFormatPr baseColWidth="8" defaultRowHeight="14.5"/>
  <cols>
    <col width="42" customWidth="1" style="20" min="1" max="1"/>
    <col width="9.453125" customWidth="1" style="20" min="2" max="21"/>
  </cols>
  <sheetData>
    <row r="1" ht="18" customHeight="1" s="20">
      <c r="A1" s="1" t="inlineStr">
        <is>
          <t>삼성전자 (Samsung Electronics) — 분기 데이터 (Quarterly, 2016Q3~2026Q2)</t>
        </is>
      </c>
    </row>
    <row r="2">
      <c r="A2" s="2" t="inlineStr">
        <is>
          <t>단위: 십억 원 (KRW bn) · 2021Q3 이후 20개 분기만 채워져 있습니다 · 파란색 칸은 입력값입니다.</t>
        </is>
      </c>
    </row>
    <row r="4">
      <c r="A4" s="8" t="inlineStr">
        <is>
          <t>항목 (Metric)</t>
        </is>
      </c>
      <c r="B4" s="9" t="inlineStr">
        <is>
          <t>2021Q3</t>
        </is>
      </c>
      <c r="C4" s="9" t="inlineStr">
        <is>
          <t>2021Q4</t>
        </is>
      </c>
      <c r="D4" s="9" t="inlineStr">
        <is>
          <t>2022Q1</t>
        </is>
      </c>
      <c r="E4" s="9" t="inlineStr">
        <is>
          <t>2022Q2</t>
        </is>
      </c>
      <c r="F4" s="9" t="inlineStr">
        <is>
          <t>2022Q3</t>
        </is>
      </c>
      <c r="G4" s="9" t="inlineStr">
        <is>
          <t>2022Q4</t>
        </is>
      </c>
      <c r="H4" s="9" t="inlineStr">
        <is>
          <t>2023Q1</t>
        </is>
      </c>
      <c r="I4" s="9" t="inlineStr">
        <is>
          <t>2023Q2</t>
        </is>
      </c>
      <c r="J4" s="9" t="inlineStr">
        <is>
          <t>2023Q3</t>
        </is>
      </c>
      <c r="K4" s="9" t="inlineStr">
        <is>
          <t>2023Q4</t>
        </is>
      </c>
      <c r="L4" s="9" t="inlineStr">
        <is>
          <t>2024Q1</t>
        </is>
      </c>
      <c r="M4" s="9" t="inlineStr">
        <is>
          <t>2024Q2</t>
        </is>
      </c>
      <c r="N4" s="9" t="inlineStr">
        <is>
          <t>2024Q3</t>
        </is>
      </c>
      <c r="O4" s="9" t="inlineStr">
        <is>
          <t>2024Q4</t>
        </is>
      </c>
      <c r="P4" s="9" t="inlineStr">
        <is>
          <t>2025Q1</t>
        </is>
      </c>
      <c r="Q4" s="9" t="inlineStr">
        <is>
          <t>2025Q2</t>
        </is>
      </c>
      <c r="R4" s="9" t="inlineStr">
        <is>
          <t>2025Q3</t>
        </is>
      </c>
      <c r="S4" s="9" t="inlineStr">
        <is>
          <t>2025Q4</t>
        </is>
      </c>
      <c r="T4" s="9" t="inlineStr">
        <is>
          <t>2026Q1</t>
        </is>
      </c>
      <c r="U4" s="9" t="inlineStr">
        <is>
          <t>2026Q2</t>
        </is>
      </c>
    </row>
    <row r="5">
      <c r="A5" s="3" t="inlineStr">
        <is>
          <t>손익계산서 및 시장가치 (Income statement &amp; market value)</t>
        </is>
      </c>
    </row>
    <row r="6">
      <c r="A6" s="5" t="inlineStr">
        <is>
          <t>매출액 (Revenue)</t>
        </is>
      </c>
      <c r="B6" s="14" t="n">
        <v>73979</v>
      </c>
      <c r="C6" s="14" t="n">
        <v>76565</v>
      </c>
      <c r="D6" s="14" t="n">
        <v>77781</v>
      </c>
      <c r="E6" s="14" t="n">
        <v>77204</v>
      </c>
      <c r="F6" s="14" t="n">
        <v>76782</v>
      </c>
      <c r="G6" s="14" t="n">
        <v>70470</v>
      </c>
      <c r="H6" s="14" t="n">
        <v>63745</v>
      </c>
      <c r="I6" s="14" t="n">
        <v>60006</v>
      </c>
      <c r="J6" s="14" t="n">
        <v>67405</v>
      </c>
      <c r="K6" s="14" t="n">
        <v>67775</v>
      </c>
      <c r="L6" s="14" t="n">
        <v>71916</v>
      </c>
      <c r="M6" s="14" t="n">
        <v>74068</v>
      </c>
      <c r="N6" s="14" t="n">
        <v>79099</v>
      </c>
      <c r="O6" s="14" t="n">
        <v>75785</v>
      </c>
      <c r="P6" s="14" t="n">
        <v>79141</v>
      </c>
      <c r="Q6" s="14" t="n">
        <v>74566</v>
      </c>
      <c r="R6" s="14" t="n">
        <v>86062</v>
      </c>
      <c r="S6" s="14" t="n">
        <v>93806</v>
      </c>
      <c r="T6" s="14" t="n">
        <v>133873</v>
      </c>
      <c r="U6" s="14" t="n">
        <v>171500</v>
      </c>
    </row>
    <row r="7">
      <c r="A7" s="5" t="inlineStr">
        <is>
          <t>매출총이익 (Gross profit)</t>
        </is>
      </c>
      <c r="B7" s="14" t="n">
        <v>31080</v>
      </c>
      <c r="C7" s="14" t="n">
        <v>31623</v>
      </c>
      <c r="D7" s="14" t="n">
        <v>30709</v>
      </c>
      <c r="E7" s="14" t="n">
        <v>30934</v>
      </c>
      <c r="F7" s="14" t="n">
        <v>28709</v>
      </c>
      <c r="G7" s="14" t="n">
        <v>21840</v>
      </c>
      <c r="H7" s="14" t="n">
        <v>17738</v>
      </c>
      <c r="I7" s="14" t="n">
        <v>18358</v>
      </c>
      <c r="J7" s="14" t="n">
        <v>20786</v>
      </c>
      <c r="K7" s="14" t="n">
        <v>21667</v>
      </c>
      <c r="L7" s="14" t="n">
        <v>26029</v>
      </c>
      <c r="M7" s="14" t="n">
        <v>29756</v>
      </c>
      <c r="N7" s="14" t="n">
        <v>30004</v>
      </c>
      <c r="O7" s="14" t="n">
        <v>28519</v>
      </c>
      <c r="P7" s="14" t="n">
        <v>28131</v>
      </c>
      <c r="Q7" s="14" t="n">
        <v>25497</v>
      </c>
      <c r="R7" s="14" t="n">
        <v>33492</v>
      </c>
      <c r="S7" s="14" t="n">
        <v>44270</v>
      </c>
      <c r="T7" s="14" t="n">
        <v>81913</v>
      </c>
      <c r="U7" s="14" t="n">
        <v>119300</v>
      </c>
    </row>
    <row r="8">
      <c r="A8" s="5" t="inlineStr">
        <is>
          <t>영업이익 (Operating income)</t>
        </is>
      </c>
      <c r="B8" s="14" t="n">
        <v>15818</v>
      </c>
      <c r="C8" s="14" t="n">
        <v>13874</v>
      </c>
      <c r="D8" s="14" t="n">
        <v>14121</v>
      </c>
      <c r="E8" s="14" t="n">
        <v>14097</v>
      </c>
      <c r="F8" s="14" t="n">
        <v>10852</v>
      </c>
      <c r="G8" s="14" t="n">
        <v>4315</v>
      </c>
      <c r="H8" s="14" t="n">
        <v>640</v>
      </c>
      <c r="I8" s="14" t="n">
        <v>669</v>
      </c>
      <c r="J8" s="14" t="n">
        <v>2434</v>
      </c>
      <c r="K8" s="14" t="n">
        <v>2827</v>
      </c>
      <c r="L8" s="14" t="n">
        <v>6606</v>
      </c>
      <c r="M8" s="14" t="n">
        <v>10444</v>
      </c>
      <c r="N8" s="14" t="n">
        <v>9183</v>
      </c>
      <c r="O8" s="14" t="n">
        <v>6490</v>
      </c>
      <c r="P8" s="14" t="n">
        <v>6685</v>
      </c>
      <c r="Q8" s="14" t="n">
        <v>4676</v>
      </c>
      <c r="R8" s="14" t="n">
        <v>12166</v>
      </c>
      <c r="S8" s="14" t="n">
        <v>20001</v>
      </c>
      <c r="T8" s="14" t="n">
        <v>57233</v>
      </c>
      <c r="U8" s="14" t="n">
        <v>89500</v>
      </c>
    </row>
    <row r="9">
      <c r="A9" s="5" t="inlineStr">
        <is>
          <t>당기순이익 (Net income)</t>
        </is>
      </c>
      <c r="B9" s="14" t="n">
        <v>12057</v>
      </c>
      <c r="C9" s="14" t="n">
        <v>10644</v>
      </c>
      <c r="D9" s="14" t="n">
        <v>11129</v>
      </c>
      <c r="E9" s="14" t="n">
        <v>10955</v>
      </c>
      <c r="F9" s="14" t="n">
        <v>9144</v>
      </c>
      <c r="G9" s="14" t="n">
        <v>23511</v>
      </c>
      <c r="H9" s="14" t="n">
        <v>1401</v>
      </c>
      <c r="I9" s="14" t="n">
        <v>1547</v>
      </c>
      <c r="J9" s="14" t="n">
        <v>5501</v>
      </c>
      <c r="K9" s="14" t="n">
        <v>6023</v>
      </c>
      <c r="L9" s="14" t="n">
        <v>6621</v>
      </c>
      <c r="M9" s="14" t="n">
        <v>9643</v>
      </c>
      <c r="N9" s="14" t="n">
        <v>9782</v>
      </c>
      <c r="O9" s="14" t="n">
        <v>7580</v>
      </c>
      <c r="P9" s="14" t="n">
        <v>8028</v>
      </c>
      <c r="Q9" s="14" t="n">
        <v>4337</v>
      </c>
      <c r="R9" s="14" t="n">
        <v>10553</v>
      </c>
      <c r="S9" s="14" t="n">
        <v>19361</v>
      </c>
      <c r="T9" s="14" t="n">
        <v>47101</v>
      </c>
      <c r="U9" s="14" t="n">
        <v>71300</v>
      </c>
    </row>
    <row r="10">
      <c r="A10" s="5" t="inlineStr">
        <is>
          <t>시가총액 · 분기말 (Market cap, quarter-end)</t>
        </is>
      </c>
      <c r="B10" s="14" t="n">
        <v>499634</v>
      </c>
      <c r="C10" s="14" t="n">
        <v>526024</v>
      </c>
      <c r="D10" s="14" t="n">
        <v>467339</v>
      </c>
      <c r="E10" s="14" t="n">
        <v>383068</v>
      </c>
      <c r="F10" s="14" t="n">
        <v>355589</v>
      </c>
      <c r="G10" s="14" t="n">
        <v>371685</v>
      </c>
      <c r="H10" s="14" t="n">
        <v>426420</v>
      </c>
      <c r="I10" s="14" t="n">
        <v>479980</v>
      </c>
      <c r="J10" s="14" t="n">
        <v>453180</v>
      </c>
      <c r="K10" s="14" t="n">
        <v>519894</v>
      </c>
      <c r="L10" s="14" t="n">
        <v>547866</v>
      </c>
      <c r="M10" s="14" t="n">
        <v>538873</v>
      </c>
      <c r="N10" s="14" t="n">
        <v>409027</v>
      </c>
      <c r="O10" s="14" t="n">
        <v>353964</v>
      </c>
      <c r="P10" s="14" t="n">
        <v>377444</v>
      </c>
      <c r="Q10" s="14" t="n">
        <v>391492</v>
      </c>
      <c r="R10" s="14" t="n">
        <v>546799</v>
      </c>
      <c r="S10" s="14" t="n">
        <v>769602</v>
      </c>
      <c r="T10" s="14" t="n">
        <v>1061034</v>
      </c>
      <c r="U10" s="14" t="n">
        <v>2104819</v>
      </c>
    </row>
    <row r="11">
      <c r="A11" s="4" t="inlineStr">
        <is>
          <t>PE ratio  (당기순이익 ÷ 시가총액)</t>
        </is>
      </c>
      <c r="B11" s="15">
        <f>IF(OR(B9="",B10=""),"",B9/B10)</f>
        <v/>
      </c>
      <c r="C11" s="15">
        <f>IF(OR(C9="",C10=""),"",C9/C10)</f>
        <v/>
      </c>
      <c r="D11" s="15">
        <f>IF(OR(D9="",D10=""),"",D9/D10)</f>
        <v/>
      </c>
      <c r="E11" s="15">
        <f>IF(OR(E9="",E10=""),"",E9/E10)</f>
        <v/>
      </c>
      <c r="F11" s="15">
        <f>IF(OR(F9="",F10=""),"",F9/F10)</f>
        <v/>
      </c>
      <c r="G11" s="15">
        <f>IF(OR(G9="",G10=""),"",G9/G10)</f>
        <v/>
      </c>
      <c r="H11" s="15">
        <f>IF(OR(H9="",H10=""),"",H9/H10)</f>
        <v/>
      </c>
      <c r="I11" s="15">
        <f>IF(OR(I9="",I10=""),"",I9/I10)</f>
        <v/>
      </c>
      <c r="J11" s="15">
        <f>IF(OR(J9="",J10=""),"",J9/J10)</f>
        <v/>
      </c>
      <c r="K11" s="15">
        <f>IF(OR(K9="",K10=""),"",K9/K10)</f>
        <v/>
      </c>
      <c r="L11" s="15">
        <f>IF(OR(L9="",L10=""),"",L9/L10)</f>
        <v/>
      </c>
      <c r="M11" s="15">
        <f>IF(OR(M9="",M10=""),"",M9/M10)</f>
        <v/>
      </c>
      <c r="N11" s="15">
        <f>IF(OR(N9="",N10=""),"",N9/N10)</f>
        <v/>
      </c>
      <c r="O11" s="15">
        <f>IF(OR(O9="",O10=""),"",O9/O10)</f>
        <v/>
      </c>
      <c r="P11" s="15">
        <f>IF(OR(P9="",P10=""),"",P9/P10)</f>
        <v/>
      </c>
      <c r="Q11" s="15">
        <f>IF(OR(Q9="",Q10=""),"",Q9/Q10)</f>
        <v/>
      </c>
      <c r="R11" s="15">
        <f>IF(OR(R9="",R10=""),"",R9/R10)</f>
        <v/>
      </c>
      <c r="S11" s="15">
        <f>IF(OR(S9="",S10=""),"",S9/S10)</f>
        <v/>
      </c>
      <c r="T11" s="15">
        <f>IF(OR(T9="",T10=""),"",T9/T10)</f>
        <v/>
      </c>
      <c r="U11" s="15">
        <f>IF(OR(U9="",U10=""),"",U9/U10)</f>
        <v/>
      </c>
    </row>
    <row r="12">
      <c r="A12" s="5" t="inlineStr">
        <is>
          <t>참고: 통상적 P/E  (시가총액 ÷ 당기순이익)</t>
        </is>
      </c>
      <c r="B12" s="16">
        <f>IF(OR(B9="",B10="",N(B9)&lt;=0),"",B10/B9)</f>
        <v/>
      </c>
      <c r="C12" s="16">
        <f>IF(OR(C9="",C10="",N(C9)&lt;=0),"",C10/C9)</f>
        <v/>
      </c>
      <c r="D12" s="16">
        <f>IF(OR(D9="",D10="",N(D9)&lt;=0),"",D10/D9)</f>
        <v/>
      </c>
      <c r="E12" s="16">
        <f>IF(OR(E9="",E10="",N(E9)&lt;=0),"",E10/E9)</f>
        <v/>
      </c>
      <c r="F12" s="16">
        <f>IF(OR(F9="",F10="",N(F9)&lt;=0),"",F10/F9)</f>
        <v/>
      </c>
      <c r="G12" s="16">
        <f>IF(OR(G9="",G10="",N(G9)&lt;=0),"",G10/G9)</f>
        <v/>
      </c>
      <c r="H12" s="16">
        <f>IF(OR(H9="",H10="",N(H9)&lt;=0),"",H10/H9)</f>
        <v/>
      </c>
      <c r="I12" s="16">
        <f>IF(OR(I9="",I10="",N(I9)&lt;=0),"",I10/I9)</f>
        <v/>
      </c>
      <c r="J12" s="16">
        <f>IF(OR(J9="",J10="",N(J9)&lt;=0),"",J10/J9)</f>
        <v/>
      </c>
      <c r="K12" s="16">
        <f>IF(OR(K9="",K10="",N(K9)&lt;=0),"",K10/K9)</f>
        <v/>
      </c>
      <c r="L12" s="16">
        <f>IF(OR(L9="",L10="",N(L9)&lt;=0),"",L10/L9)</f>
        <v/>
      </c>
      <c r="M12" s="16">
        <f>IF(OR(M9="",M10="",N(M9)&lt;=0),"",M10/M9)</f>
        <v/>
      </c>
      <c r="N12" s="16">
        <f>IF(OR(N9="",N10="",N(N9)&lt;=0),"",N10/N9)</f>
        <v/>
      </c>
      <c r="O12" s="16">
        <f>IF(OR(O9="",O10="",N(O9)&lt;=0),"",O10/O9)</f>
        <v/>
      </c>
      <c r="P12" s="16">
        <f>IF(OR(P9="",P10="",N(P9)&lt;=0),"",P10/P9)</f>
        <v/>
      </c>
      <c r="Q12" s="16">
        <f>IF(OR(Q9="",Q10="",N(Q9)&lt;=0),"",Q10/Q9)</f>
        <v/>
      </c>
      <c r="R12" s="16">
        <f>IF(OR(R9="",R10="",N(R9)&lt;=0),"",R10/R9)</f>
        <v/>
      </c>
      <c r="S12" s="16">
        <f>IF(OR(S9="",S10="",N(S9)&lt;=0),"",S10/S9)</f>
        <v/>
      </c>
      <c r="T12" s="16">
        <f>IF(OR(T9="",T10="",N(T9)&lt;=0),"",T10/T9)</f>
        <v/>
      </c>
      <c r="U12" s="16">
        <f>IF(OR(U9="",U10="",N(U9)&lt;=0),"",U10/U9)</f>
        <v/>
      </c>
    </row>
    <row r="14">
      <c r="A14" s="3" t="inlineStr">
        <is>
          <t>재무상태표 (Balance sheet, 기말)</t>
        </is>
      </c>
    </row>
    <row r="15">
      <c r="A15" s="5" t="inlineStr">
        <is>
          <t>재고자산 (Inventories)</t>
        </is>
      </c>
      <c r="B15" s="14" t="n">
        <v>37802</v>
      </c>
      <c r="C15" s="14" t="n">
        <v>41384</v>
      </c>
      <c r="D15" s="14" t="n">
        <v>47591</v>
      </c>
      <c r="E15" s="14" t="n">
        <v>52092</v>
      </c>
      <c r="F15" s="14" t="n">
        <v>57320</v>
      </c>
      <c r="G15" s="14" t="n">
        <v>52188</v>
      </c>
      <c r="H15" s="14" t="n">
        <v>54420</v>
      </c>
      <c r="I15" s="14" t="n">
        <v>55505</v>
      </c>
      <c r="J15" s="14" t="n">
        <v>55256</v>
      </c>
      <c r="K15" s="14" t="n">
        <v>51626</v>
      </c>
      <c r="L15" s="14" t="n">
        <v>53348</v>
      </c>
      <c r="M15" s="14" t="n">
        <v>55567</v>
      </c>
      <c r="N15" s="14" t="n">
        <v>53357</v>
      </c>
      <c r="O15" s="14" t="n">
        <v>51755</v>
      </c>
      <c r="P15" s="14" t="n">
        <v>53220</v>
      </c>
      <c r="Q15" s="14" t="n">
        <v>51037</v>
      </c>
      <c r="R15" s="14" t="n">
        <v>50332</v>
      </c>
      <c r="S15" s="14" t="n">
        <v>52637</v>
      </c>
      <c r="T15" s="14" t="n">
        <v>58278</v>
      </c>
      <c r="U15" s="14" t="n">
        <v>71389</v>
      </c>
    </row>
    <row r="16">
      <c r="A16" s="5" t="inlineStr">
        <is>
          <t>자산총계 (Total assets)</t>
        </is>
      </c>
      <c r="B16" s="14" t="n">
        <v>410421</v>
      </c>
      <c r="C16" s="14" t="n">
        <v>426621</v>
      </c>
      <c r="D16" s="14" t="n">
        <v>439327</v>
      </c>
      <c r="E16" s="14" t="n">
        <v>448041</v>
      </c>
      <c r="F16" s="14" t="n">
        <v>470278</v>
      </c>
      <c r="G16" s="14" t="n">
        <v>448425</v>
      </c>
      <c r="H16" s="14" t="n">
        <v>454092</v>
      </c>
      <c r="I16" s="14" t="n">
        <v>448001</v>
      </c>
      <c r="J16" s="14" t="n">
        <v>454466</v>
      </c>
      <c r="K16" s="14" t="n">
        <v>455906</v>
      </c>
      <c r="L16" s="14" t="n">
        <v>470900</v>
      </c>
      <c r="M16" s="14" t="n">
        <v>485758</v>
      </c>
      <c r="N16" s="14" t="n">
        <v>491307</v>
      </c>
      <c r="O16" s="14" t="n">
        <v>514532</v>
      </c>
      <c r="P16" s="14" t="n">
        <v>516377</v>
      </c>
      <c r="Q16" s="14" t="n">
        <v>504875</v>
      </c>
      <c r="R16" s="14" t="n">
        <v>523660</v>
      </c>
      <c r="S16" s="14" t="n">
        <v>566942</v>
      </c>
      <c r="T16" s="14" t="n">
        <v>633340</v>
      </c>
      <c r="U16" s="14" t="n">
        <v>759481</v>
      </c>
    </row>
    <row r="18">
      <c r="A18" s="3" t="inlineStr">
        <is>
          <t>비율 (Ratios)</t>
        </is>
      </c>
    </row>
    <row r="19">
      <c r="A19" s="4" t="inlineStr">
        <is>
          <t>Gross profit margin  (영업이익 ÷ 매출액)</t>
        </is>
      </c>
      <c r="B19" s="15">
        <f>IF(OR(B8="",B6=""),"",B8/B6)</f>
        <v/>
      </c>
      <c r="C19" s="15">
        <f>IF(OR(C8="",C6=""),"",C8/C6)</f>
        <v/>
      </c>
      <c r="D19" s="15">
        <f>IF(OR(D8="",D6=""),"",D8/D6)</f>
        <v/>
      </c>
      <c r="E19" s="15">
        <f>IF(OR(E8="",E6=""),"",E8/E6)</f>
        <v/>
      </c>
      <c r="F19" s="15">
        <f>IF(OR(F8="",F6=""),"",F8/F6)</f>
        <v/>
      </c>
      <c r="G19" s="15">
        <f>IF(OR(G8="",G6=""),"",G8/G6)</f>
        <v/>
      </c>
      <c r="H19" s="15">
        <f>IF(OR(H8="",H6=""),"",H8/H6)</f>
        <v/>
      </c>
      <c r="I19" s="15">
        <f>IF(OR(I8="",I6=""),"",I8/I6)</f>
        <v/>
      </c>
      <c r="J19" s="15">
        <f>IF(OR(J8="",J6=""),"",J8/J6)</f>
        <v/>
      </c>
      <c r="K19" s="15">
        <f>IF(OR(K8="",K6=""),"",K8/K6)</f>
        <v/>
      </c>
      <c r="L19" s="15">
        <f>IF(OR(L8="",L6=""),"",L8/L6)</f>
        <v/>
      </c>
      <c r="M19" s="15">
        <f>IF(OR(M8="",M6=""),"",M8/M6)</f>
        <v/>
      </c>
      <c r="N19" s="15">
        <f>IF(OR(N8="",N6=""),"",N8/N6)</f>
        <v/>
      </c>
      <c r="O19" s="15">
        <f>IF(OR(O8="",O6=""),"",O8/O6)</f>
        <v/>
      </c>
      <c r="P19" s="15">
        <f>IF(OR(P8="",P6=""),"",P8/P6)</f>
        <v/>
      </c>
      <c r="Q19" s="15">
        <f>IF(OR(Q8="",Q6=""),"",Q8/Q6)</f>
        <v/>
      </c>
      <c r="R19" s="15">
        <f>IF(OR(R8="",R6=""),"",R8/R6)</f>
        <v/>
      </c>
      <c r="S19" s="15">
        <f>IF(OR(S8="",S6=""),"",S8/S6)</f>
        <v/>
      </c>
      <c r="T19" s="15">
        <f>IF(OR(T8="",T6=""),"",T8/T6)</f>
        <v/>
      </c>
      <c r="U19" s="15">
        <f>IF(OR(U8="",U6=""),"",U8/U6)</f>
        <v/>
      </c>
    </row>
    <row r="20">
      <c r="A20" s="4" t="inlineStr">
        <is>
          <t>Profit margin  (당기순이익 ÷ 매출액)</t>
        </is>
      </c>
      <c r="B20" s="15">
        <f>IF(OR(B9="",B6=""),"",B9/B6)</f>
        <v/>
      </c>
      <c r="C20" s="15">
        <f>IF(OR(C9="",C6=""),"",C9/C6)</f>
        <v/>
      </c>
      <c r="D20" s="15">
        <f>IF(OR(D9="",D6=""),"",D9/D6)</f>
        <v/>
      </c>
      <c r="E20" s="15">
        <f>IF(OR(E9="",E6=""),"",E9/E6)</f>
        <v/>
      </c>
      <c r="F20" s="15">
        <f>IF(OR(F9="",F6=""),"",F9/F6)</f>
        <v/>
      </c>
      <c r="G20" s="15">
        <f>IF(OR(G9="",G6=""),"",G9/G6)</f>
        <v/>
      </c>
      <c r="H20" s="15">
        <f>IF(OR(H9="",H6=""),"",H9/H6)</f>
        <v/>
      </c>
      <c r="I20" s="15">
        <f>IF(OR(I9="",I6=""),"",I9/I6)</f>
        <v/>
      </c>
      <c r="J20" s="15">
        <f>IF(OR(J9="",J6=""),"",J9/J6)</f>
        <v/>
      </c>
      <c r="K20" s="15">
        <f>IF(OR(K9="",K6=""),"",K9/K6)</f>
        <v/>
      </c>
      <c r="L20" s="15">
        <f>IF(OR(L9="",L6=""),"",L9/L6)</f>
        <v/>
      </c>
      <c r="M20" s="15">
        <f>IF(OR(M9="",M6=""),"",M9/M6)</f>
        <v/>
      </c>
      <c r="N20" s="15">
        <f>IF(OR(N9="",N6=""),"",N9/N6)</f>
        <v/>
      </c>
      <c r="O20" s="15">
        <f>IF(OR(O9="",O6=""),"",O9/O6)</f>
        <v/>
      </c>
      <c r="P20" s="15">
        <f>IF(OR(P9="",P6=""),"",P9/P6)</f>
        <v/>
      </c>
      <c r="Q20" s="15">
        <f>IF(OR(Q9="",Q6=""),"",Q9/Q6)</f>
        <v/>
      </c>
      <c r="R20" s="15">
        <f>IF(OR(R9="",R6=""),"",R9/R6)</f>
        <v/>
      </c>
      <c r="S20" s="15">
        <f>IF(OR(S9="",S6=""),"",S9/S6)</f>
        <v/>
      </c>
      <c r="T20" s="15">
        <f>IF(OR(T9="",T6=""),"",T9/T6)</f>
        <v/>
      </c>
      <c r="U20" s="15">
        <f>IF(OR(U9="",U6=""),"",U9/U6)</f>
        <v/>
      </c>
    </row>
    <row r="21">
      <c r="A21" s="4" t="inlineStr">
        <is>
          <t>재고자산 / 자산총계  (Inventory ÷ total assets)</t>
        </is>
      </c>
      <c r="B21" s="15">
        <f>IF(OR(B15="",B16=""),"",B15/B16)</f>
        <v/>
      </c>
      <c r="C21" s="15">
        <f>IF(OR(C15="",C16=""),"",C15/C16)</f>
        <v/>
      </c>
      <c r="D21" s="15">
        <f>IF(OR(D15="",D16=""),"",D15/D16)</f>
        <v/>
      </c>
      <c r="E21" s="15">
        <f>IF(OR(E15="",E16=""),"",E15/E16)</f>
        <v/>
      </c>
      <c r="F21" s="15">
        <f>IF(OR(F15="",F16=""),"",F15/F16)</f>
        <v/>
      </c>
      <c r="G21" s="15">
        <f>IF(OR(G15="",G16=""),"",G15/G16)</f>
        <v/>
      </c>
      <c r="H21" s="15">
        <f>IF(OR(H15="",H16=""),"",H15/H16)</f>
        <v/>
      </c>
      <c r="I21" s="15">
        <f>IF(OR(I15="",I16=""),"",I15/I16)</f>
        <v/>
      </c>
      <c r="J21" s="15">
        <f>IF(OR(J15="",J16=""),"",J15/J16)</f>
        <v/>
      </c>
      <c r="K21" s="15">
        <f>IF(OR(K15="",K16=""),"",K15/K16)</f>
        <v/>
      </c>
      <c r="L21" s="15">
        <f>IF(OR(L15="",L16=""),"",L15/L16)</f>
        <v/>
      </c>
      <c r="M21" s="15">
        <f>IF(OR(M15="",M16=""),"",M15/M16)</f>
        <v/>
      </c>
      <c r="N21" s="15">
        <f>IF(OR(N15="",N16=""),"",N15/N16)</f>
        <v/>
      </c>
      <c r="O21" s="15">
        <f>IF(OR(O15="",O16=""),"",O15/O16)</f>
        <v/>
      </c>
      <c r="P21" s="15">
        <f>IF(OR(P15="",P16=""),"",P15/P16)</f>
        <v/>
      </c>
      <c r="Q21" s="15">
        <f>IF(OR(Q15="",Q16=""),"",Q15/Q16)</f>
        <v/>
      </c>
      <c r="R21" s="15">
        <f>IF(OR(R15="",R16=""),"",R15/R16)</f>
        <v/>
      </c>
      <c r="S21" s="15">
        <f>IF(OR(S15="",S16=""),"",S15/S16)</f>
        <v/>
      </c>
      <c r="T21" s="15">
        <f>IF(OR(T15="",T16=""),"",T15/T16)</f>
        <v/>
      </c>
      <c r="U21" s="15">
        <f>IF(OR(U15="",U16=""),"",U15/U16)</f>
        <v/>
      </c>
    </row>
    <row r="22">
      <c r="A22" s="5" t="inlineStr">
        <is>
          <t>참고: 매출총이익률  (매출총이익 ÷ 매출액)</t>
        </is>
      </c>
      <c r="B22" s="15">
        <f>IF(OR(B7="",B6=""),"",B7/B6)</f>
        <v/>
      </c>
      <c r="C22" s="15">
        <f>IF(OR(C7="",C6=""),"",C7/C6)</f>
        <v/>
      </c>
      <c r="D22" s="15">
        <f>IF(OR(D7="",D6=""),"",D7/D6)</f>
        <v/>
      </c>
      <c r="E22" s="15">
        <f>IF(OR(E7="",E6=""),"",E7/E6)</f>
        <v/>
      </c>
      <c r="F22" s="15">
        <f>IF(OR(F7="",F6=""),"",F7/F6)</f>
        <v/>
      </c>
      <c r="G22" s="15">
        <f>IF(OR(G7="",G6=""),"",G7/G6)</f>
        <v/>
      </c>
      <c r="H22" s="15">
        <f>IF(OR(H7="",H6=""),"",H7/H6)</f>
        <v/>
      </c>
      <c r="I22" s="15">
        <f>IF(OR(I7="",I6=""),"",I7/I6)</f>
        <v/>
      </c>
      <c r="J22" s="15">
        <f>IF(OR(J7="",J6=""),"",J7/J6)</f>
        <v/>
      </c>
      <c r="K22" s="15">
        <f>IF(OR(K7="",K6=""),"",K7/K6)</f>
        <v/>
      </c>
      <c r="L22" s="15">
        <f>IF(OR(L7="",L6=""),"",L7/L6)</f>
        <v/>
      </c>
      <c r="M22" s="15">
        <f>IF(OR(M7="",M6=""),"",M7/M6)</f>
        <v/>
      </c>
      <c r="N22" s="15">
        <f>IF(OR(N7="",N6=""),"",N7/N6)</f>
        <v/>
      </c>
      <c r="O22" s="15">
        <f>IF(OR(O7="",O6=""),"",O7/O6)</f>
        <v/>
      </c>
      <c r="P22" s="15">
        <f>IF(OR(P7="",P6=""),"",P7/P6)</f>
        <v/>
      </c>
      <c r="Q22" s="15">
        <f>IF(OR(Q7="",Q6=""),"",Q7/Q6)</f>
        <v/>
      </c>
      <c r="R22" s="15">
        <f>IF(OR(R7="",R6=""),"",R7/R6)</f>
        <v/>
      </c>
      <c r="S22" s="15">
        <f>IF(OR(S7="",S6=""),"",S7/S6)</f>
        <v/>
      </c>
      <c r="T22" s="15">
        <f>IF(OR(T7="",T6=""),"",T7/T6)</f>
        <v/>
      </c>
      <c r="U22" s="15">
        <f>IF(OR(U7="",U6=""),"",U7/U6)</f>
        <v/>
      </c>
    </row>
    <row r="24">
      <c r="A24" s="3" t="inlineStr">
        <is>
          <t>US$ 환산 (Converted to US$ millions)</t>
        </is>
      </c>
    </row>
    <row r="25">
      <c r="A25" s="5" t="inlineStr">
        <is>
          <t>적용환율 · 분기말 KRW/USD (FX rate applied)</t>
        </is>
      </c>
      <c r="B25" s="7" t="n">
        <v>1188.8</v>
      </c>
      <c r="C25" s="7" t="n">
        <v>1188.8</v>
      </c>
      <c r="D25" s="7" t="n">
        <v>1267.3</v>
      </c>
      <c r="E25" s="7" t="n">
        <v>1267.3</v>
      </c>
      <c r="F25" s="7" t="n">
        <v>1267.3</v>
      </c>
      <c r="G25" s="7" t="n">
        <v>1267.3</v>
      </c>
      <c r="H25" s="7" t="n">
        <v>1288</v>
      </c>
      <c r="I25" s="7" t="n">
        <v>1288</v>
      </c>
      <c r="J25" s="7" t="n">
        <v>1288</v>
      </c>
      <c r="K25" s="7" t="n">
        <v>1288</v>
      </c>
      <c r="L25" s="7" t="n">
        <v>1470</v>
      </c>
      <c r="M25" s="7" t="n">
        <v>1470</v>
      </c>
      <c r="N25" s="7" t="n">
        <v>1470</v>
      </c>
      <c r="O25" s="7" t="n">
        <v>1470</v>
      </c>
      <c r="P25" s="7" t="n">
        <v>1439</v>
      </c>
      <c r="Q25" s="7" t="n">
        <v>1439</v>
      </c>
      <c r="R25" s="7" t="n">
        <v>1439</v>
      </c>
      <c r="S25" s="7" t="n">
        <v>1439</v>
      </c>
      <c r="T25" s="7" t="n">
        <v>1537.15</v>
      </c>
      <c r="U25" s="7" t="n">
        <v>1545</v>
      </c>
    </row>
    <row r="26">
      <c r="A26" s="5" t="inlineStr">
        <is>
          <t>재고자산 (Inventories, US$m)</t>
        </is>
      </c>
      <c r="B26" s="10">
        <f>IF(OR(B15="",B25=""),"",B15*1000/B25)</f>
        <v/>
      </c>
      <c r="C26" s="10">
        <f>IF(OR(C15="",C25=""),"",C15*1000/C25)</f>
        <v/>
      </c>
      <c r="D26" s="10">
        <f>IF(OR(D15="",D25=""),"",D15*1000/D25)</f>
        <v/>
      </c>
      <c r="E26" s="10">
        <f>IF(OR(E15="",E25=""),"",E15*1000/E25)</f>
        <v/>
      </c>
      <c r="F26" s="10">
        <f>IF(OR(F15="",F25=""),"",F15*1000/F25)</f>
        <v/>
      </c>
      <c r="G26" s="10">
        <f>IF(OR(G15="",G25=""),"",G15*1000/G25)</f>
        <v/>
      </c>
      <c r="H26" s="10">
        <f>IF(OR(H15="",H25=""),"",H15*1000/H25)</f>
        <v/>
      </c>
      <c r="I26" s="10">
        <f>IF(OR(I15="",I25=""),"",I15*1000/I25)</f>
        <v/>
      </c>
      <c r="J26" s="10">
        <f>IF(OR(J15="",J25=""),"",J15*1000/J25)</f>
        <v/>
      </c>
      <c r="K26" s="10">
        <f>IF(OR(K15="",K25=""),"",K15*1000/K25)</f>
        <v/>
      </c>
      <c r="L26" s="10">
        <f>IF(OR(L15="",L25=""),"",L15*1000/L25)</f>
        <v/>
      </c>
      <c r="M26" s="10">
        <f>IF(OR(M15="",M25=""),"",M15*1000/M25)</f>
        <v/>
      </c>
      <c r="N26" s="10">
        <f>IF(OR(N15="",N25=""),"",N15*1000/N25)</f>
        <v/>
      </c>
      <c r="O26" s="10">
        <f>IF(OR(O15="",O25=""),"",O15*1000/O25)</f>
        <v/>
      </c>
      <c r="P26" s="10">
        <f>IF(OR(P15="",P25=""),"",P15*1000/P25)</f>
        <v/>
      </c>
      <c r="Q26" s="10">
        <f>IF(OR(Q15="",Q25=""),"",Q15*1000/Q25)</f>
        <v/>
      </c>
      <c r="R26" s="10">
        <f>IF(OR(R15="",R25=""),"",R15*1000/R25)</f>
        <v/>
      </c>
      <c r="S26" s="10">
        <f>IF(OR(S15="",S25=""),"",S15*1000/S25)</f>
        <v/>
      </c>
      <c r="T26" s="10">
        <f>IF(OR(T15="",T25=""),"",T15*1000/T25)</f>
        <v/>
      </c>
      <c r="U26" s="10">
        <f>IF(OR(U15="",U25=""),"",U15*1000/U25)</f>
        <v/>
      </c>
    </row>
    <row r="27">
      <c r="A27" s="5" t="inlineStr">
        <is>
          <t>영업이익 (Operating income, US$m)</t>
        </is>
      </c>
      <c r="B27" s="10">
        <f>IF(OR(B8="",B25=""),"",B8*1000/B25)</f>
        <v/>
      </c>
      <c r="C27" s="10">
        <f>IF(OR(C8="",C25=""),"",C8*1000/C25)</f>
        <v/>
      </c>
      <c r="D27" s="10">
        <f>IF(OR(D8="",D25=""),"",D8*1000/D25)</f>
        <v/>
      </c>
      <c r="E27" s="10">
        <f>IF(OR(E8="",E25=""),"",E8*1000/E25)</f>
        <v/>
      </c>
      <c r="F27" s="10">
        <f>IF(OR(F8="",F25=""),"",F8*1000/F25)</f>
        <v/>
      </c>
      <c r="G27" s="10">
        <f>IF(OR(G8="",G25=""),"",G8*1000/G25)</f>
        <v/>
      </c>
      <c r="H27" s="10">
        <f>IF(OR(H8="",H25=""),"",H8*1000/H25)</f>
        <v/>
      </c>
      <c r="I27" s="10">
        <f>IF(OR(I8="",I25=""),"",I8*1000/I25)</f>
        <v/>
      </c>
      <c r="J27" s="10">
        <f>IF(OR(J8="",J25=""),"",J8*1000/J25)</f>
        <v/>
      </c>
      <c r="K27" s="10">
        <f>IF(OR(K8="",K25=""),"",K8*1000/K25)</f>
        <v/>
      </c>
      <c r="L27" s="10">
        <f>IF(OR(L8="",L25=""),"",L8*1000/L25)</f>
        <v/>
      </c>
      <c r="M27" s="10">
        <f>IF(OR(M8="",M25=""),"",M8*1000/M25)</f>
        <v/>
      </c>
      <c r="N27" s="10">
        <f>IF(OR(N8="",N25=""),"",N8*1000/N25)</f>
        <v/>
      </c>
      <c r="O27" s="10">
        <f>IF(OR(O8="",O25=""),"",O8*1000/O25)</f>
        <v/>
      </c>
      <c r="P27" s="10">
        <f>IF(OR(P8="",P25=""),"",P8*1000/P25)</f>
        <v/>
      </c>
      <c r="Q27" s="10">
        <f>IF(OR(Q8="",Q25=""),"",Q8*1000/Q25)</f>
        <v/>
      </c>
      <c r="R27" s="10">
        <f>IF(OR(R8="",R25=""),"",R8*1000/R25)</f>
        <v/>
      </c>
      <c r="S27" s="10">
        <f>IF(OR(S8="",S25=""),"",S8*1000/S25)</f>
        <v/>
      </c>
      <c r="T27" s="10">
        <f>IF(OR(T8="",T25=""),"",T8*1000/T25)</f>
        <v/>
      </c>
      <c r="U27" s="10">
        <f>IF(OR(U8="",U25=""),"",U8*1000/U25)</f>
        <v/>
      </c>
    </row>
    <row r="28">
      <c r="A28" s="5" t="inlineStr">
        <is>
          <t>시가총액 (Market cap, US$m)</t>
        </is>
      </c>
      <c r="B28" s="10">
        <f>IF(OR(B10="",B25=""),"",B10*1000/B25)</f>
        <v/>
      </c>
      <c r="C28" s="10">
        <f>IF(OR(C10="",C25=""),"",C10*1000/C25)</f>
        <v/>
      </c>
      <c r="D28" s="10">
        <f>IF(OR(D10="",D25=""),"",D10*1000/D25)</f>
        <v/>
      </c>
      <c r="E28" s="10">
        <f>IF(OR(E10="",E25=""),"",E10*1000/E25)</f>
        <v/>
      </c>
      <c r="F28" s="10">
        <f>IF(OR(F10="",F25=""),"",F10*1000/F25)</f>
        <v/>
      </c>
      <c r="G28" s="10">
        <f>IF(OR(G10="",G25=""),"",G10*1000/G25)</f>
        <v/>
      </c>
      <c r="H28" s="10">
        <f>IF(OR(H10="",H25=""),"",H10*1000/H25)</f>
        <v/>
      </c>
      <c r="I28" s="10">
        <f>IF(OR(I10="",I25=""),"",I10*1000/I25)</f>
        <v/>
      </c>
      <c r="J28" s="10">
        <f>IF(OR(J10="",J25=""),"",J10*1000/J25)</f>
        <v/>
      </c>
      <c r="K28" s="10">
        <f>IF(OR(K10="",K25=""),"",K10*1000/K25)</f>
        <v/>
      </c>
      <c r="L28" s="10">
        <f>IF(OR(L10="",L25=""),"",L10*1000/L25)</f>
        <v/>
      </c>
      <c r="M28" s="10">
        <f>IF(OR(M10="",M25=""),"",M10*1000/M25)</f>
        <v/>
      </c>
      <c r="N28" s="10">
        <f>IF(OR(N10="",N25=""),"",N10*1000/N25)</f>
        <v/>
      </c>
      <c r="O28" s="10">
        <f>IF(OR(O10="",O25=""),"",O10*1000/O25)</f>
        <v/>
      </c>
      <c r="P28" s="10">
        <f>IF(OR(P10="",P25=""),"",P10*1000/P25)</f>
        <v/>
      </c>
      <c r="Q28" s="10">
        <f>IF(OR(Q10="",Q25=""),"",Q10*1000/Q25)</f>
        <v/>
      </c>
      <c r="R28" s="10">
        <f>IF(OR(R10="",R25=""),"",R10*1000/R25)</f>
        <v/>
      </c>
      <c r="S28" s="10">
        <f>IF(OR(S10="",S25=""),"",S10*1000/S25)</f>
        <v/>
      </c>
      <c r="T28" s="10">
        <f>IF(OR(T10="",T25=""),"",T10*1000/T25)</f>
        <v/>
      </c>
      <c r="U28" s="10">
        <f>IF(OR(U10="",U25=""),"",U10*1000/U25)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26" sqref="A26"/>
    </sheetView>
  </sheetViews>
  <sheetFormatPr baseColWidth="8" defaultRowHeight="14.5"/>
  <cols>
    <col width="42" customWidth="1" style="20" min="1" max="1"/>
    <col width="9.453125" customWidth="1" style="20" min="2" max="41"/>
  </cols>
  <sheetData>
    <row r="1" ht="18" customHeight="1" s="20">
      <c r="A1" s="1" t="inlineStr">
        <is>
          <t>마이크론 (Micron Technology) — 분기 데이터 (Quarterly, 2016Q3~2026Q2)</t>
        </is>
      </c>
    </row>
    <row r="2">
      <c r="A2" s="2" t="inlineStr">
        <is>
          <t>단위: 백만 달러 (US$m) · 40개 분기 전체 (SEC XBRL) · 파란색 칸은 입력값입니다. 마이크론 회계분기를 달력분기에 정렬했습니다.</t>
        </is>
      </c>
    </row>
    <row r="4">
      <c r="A4" s="8" t="inlineStr">
        <is>
          <t>항목 (Metric)</t>
        </is>
      </c>
      <c r="B4" s="9" t="inlineStr">
        <is>
          <t>2016Q3</t>
        </is>
      </c>
      <c r="C4" s="9" t="inlineStr">
        <is>
          <t>2016Q4</t>
        </is>
      </c>
      <c r="D4" s="9" t="inlineStr">
        <is>
          <t>2017Q1</t>
        </is>
      </c>
      <c r="E4" s="9" t="inlineStr">
        <is>
          <t>2017Q2</t>
        </is>
      </c>
      <c r="F4" s="9" t="inlineStr">
        <is>
          <t>2017Q3</t>
        </is>
      </c>
      <c r="G4" s="9" t="inlineStr">
        <is>
          <t>2017Q4</t>
        </is>
      </c>
      <c r="H4" s="9" t="inlineStr">
        <is>
          <t>2018Q1</t>
        </is>
      </c>
      <c r="I4" s="9" t="inlineStr">
        <is>
          <t>2018Q2</t>
        </is>
      </c>
      <c r="J4" s="9" t="inlineStr">
        <is>
          <t>2018Q3</t>
        </is>
      </c>
      <c r="K4" s="9" t="inlineStr">
        <is>
          <t>2018Q4</t>
        </is>
      </c>
      <c r="L4" s="9" t="inlineStr">
        <is>
          <t>2019Q1</t>
        </is>
      </c>
      <c r="M4" s="9" t="inlineStr">
        <is>
          <t>2019Q2</t>
        </is>
      </c>
      <c r="N4" s="9" t="inlineStr">
        <is>
          <t>2019Q3</t>
        </is>
      </c>
      <c r="O4" s="9" t="inlineStr">
        <is>
          <t>2019Q4</t>
        </is>
      </c>
      <c r="P4" s="9" t="inlineStr">
        <is>
          <t>2020Q1</t>
        </is>
      </c>
      <c r="Q4" s="9" t="inlineStr">
        <is>
          <t>2020Q2</t>
        </is>
      </c>
      <c r="R4" s="9" t="inlineStr">
        <is>
          <t>2020Q3</t>
        </is>
      </c>
      <c r="S4" s="9" t="inlineStr">
        <is>
          <t>2020Q4</t>
        </is>
      </c>
      <c r="T4" s="9" t="inlineStr">
        <is>
          <t>2021Q1</t>
        </is>
      </c>
      <c r="U4" s="9" t="inlineStr">
        <is>
          <t>2021Q2</t>
        </is>
      </c>
      <c r="V4" s="9" t="inlineStr">
        <is>
          <t>2021Q3</t>
        </is>
      </c>
      <c r="W4" s="9" t="inlineStr">
        <is>
          <t>2021Q4</t>
        </is>
      </c>
      <c r="X4" s="9" t="inlineStr">
        <is>
          <t>2022Q1</t>
        </is>
      </c>
      <c r="Y4" s="9" t="inlineStr">
        <is>
          <t>2022Q2</t>
        </is>
      </c>
      <c r="Z4" s="9" t="inlineStr">
        <is>
          <t>2022Q3</t>
        </is>
      </c>
      <c r="AA4" s="9" t="inlineStr">
        <is>
          <t>2022Q4</t>
        </is>
      </c>
      <c r="AB4" s="9" t="inlineStr">
        <is>
          <t>2023Q1</t>
        </is>
      </c>
      <c r="AC4" s="9" t="inlineStr">
        <is>
          <t>2023Q2</t>
        </is>
      </c>
      <c r="AD4" s="9" t="inlineStr">
        <is>
          <t>2023Q3</t>
        </is>
      </c>
      <c r="AE4" s="9" t="inlineStr">
        <is>
          <t>2023Q4</t>
        </is>
      </c>
      <c r="AF4" s="9" t="inlineStr">
        <is>
          <t>2024Q1</t>
        </is>
      </c>
      <c r="AG4" s="9" t="inlineStr">
        <is>
          <t>2024Q2</t>
        </is>
      </c>
      <c r="AH4" s="9" t="inlineStr">
        <is>
          <t>2024Q3</t>
        </is>
      </c>
      <c r="AI4" s="9" t="inlineStr">
        <is>
          <t>2024Q4</t>
        </is>
      </c>
      <c r="AJ4" s="9" t="inlineStr">
        <is>
          <t>2025Q1</t>
        </is>
      </c>
      <c r="AK4" s="9" t="inlineStr">
        <is>
          <t>2025Q2</t>
        </is>
      </c>
      <c r="AL4" s="9" t="inlineStr">
        <is>
          <t>2025Q3</t>
        </is>
      </c>
      <c r="AM4" s="9" t="inlineStr">
        <is>
          <t>2025Q4</t>
        </is>
      </c>
      <c r="AN4" s="9" t="inlineStr">
        <is>
          <t>2026Q1</t>
        </is>
      </c>
      <c r="AO4" s="9" t="inlineStr">
        <is>
          <t>2026Q2</t>
        </is>
      </c>
    </row>
    <row r="5">
      <c r="A5" s="3" t="inlineStr">
        <is>
          <t>손익계산서 및 시장가치 (Income statement &amp; market value)</t>
        </is>
      </c>
    </row>
    <row r="6">
      <c r="A6" s="5" t="inlineStr">
        <is>
          <t>매출액 (Revenue)</t>
        </is>
      </c>
      <c r="B6" s="14" t="n">
        <v>3217</v>
      </c>
      <c r="C6" s="14" t="n">
        <v>3970</v>
      </c>
      <c r="D6" s="14" t="n">
        <v>4648</v>
      </c>
      <c r="E6" s="14" t="n">
        <v>5566</v>
      </c>
      <c r="F6" s="14" t="n">
        <v>6138</v>
      </c>
      <c r="G6" s="14" t="n">
        <v>6803</v>
      </c>
      <c r="H6" s="14" t="n">
        <v>7351</v>
      </c>
      <c r="I6" s="14" t="n">
        <v>7797</v>
      </c>
      <c r="J6" s="14" t="n">
        <v>8440</v>
      </c>
      <c r="K6" s="14" t="n">
        <v>7913</v>
      </c>
      <c r="L6" s="14" t="n">
        <v>5835</v>
      </c>
      <c r="M6" s="14" t="n">
        <v>4788</v>
      </c>
      <c r="N6" s="14" t="n">
        <v>4870</v>
      </c>
      <c r="O6" s="14" t="n">
        <v>5144</v>
      </c>
      <c r="P6" s="14" t="n">
        <v>4797</v>
      </c>
      <c r="Q6" s="14" t="n">
        <v>5438</v>
      </c>
      <c r="R6" s="14" t="n">
        <v>6056</v>
      </c>
      <c r="S6" s="14" t="n">
        <v>5773</v>
      </c>
      <c r="T6" s="14" t="n">
        <v>6236</v>
      </c>
      <c r="U6" s="14" t="n">
        <v>7422</v>
      </c>
      <c r="V6" s="14" t="n">
        <v>8274</v>
      </c>
      <c r="W6" s="14" t="n">
        <v>7687</v>
      </c>
      <c r="X6" s="14" t="n">
        <v>7786</v>
      </c>
      <c r="Y6" s="14" t="n">
        <v>8642</v>
      </c>
      <c r="Z6" s="14" t="n">
        <v>6643</v>
      </c>
      <c r="AA6" s="14" t="n">
        <v>4085</v>
      </c>
      <c r="AB6" s="14" t="n">
        <v>3693</v>
      </c>
      <c r="AC6" s="14" t="n">
        <v>3752</v>
      </c>
      <c r="AD6" s="14" t="n">
        <v>4010</v>
      </c>
      <c r="AE6" s="14" t="n">
        <v>4726</v>
      </c>
      <c r="AF6" s="14" t="n">
        <v>5824</v>
      </c>
      <c r="AG6" s="14" t="n">
        <v>6811</v>
      </c>
      <c r="AH6" s="14" t="n">
        <v>7750</v>
      </c>
      <c r="AI6" s="14" t="n">
        <v>8709</v>
      </c>
      <c r="AJ6" s="14" t="n">
        <v>8053</v>
      </c>
      <c r="AK6" s="14" t="n">
        <v>9301</v>
      </c>
      <c r="AL6" s="14" t="n">
        <v>11315</v>
      </c>
      <c r="AM6" s="14" t="n">
        <v>13643</v>
      </c>
      <c r="AN6" s="14" t="n">
        <v>23860</v>
      </c>
      <c r="AO6" s="14" t="n">
        <v>41456</v>
      </c>
    </row>
    <row r="7">
      <c r="A7" s="5" t="inlineStr">
        <is>
          <t>매출총이익 (Gross profit)</t>
        </is>
      </c>
      <c r="B7" s="14" t="n">
        <v>579</v>
      </c>
      <c r="C7" s="14" t="n">
        <v>1011</v>
      </c>
      <c r="D7" s="14" t="n">
        <v>1704</v>
      </c>
      <c r="E7" s="14" t="n">
        <v>2609</v>
      </c>
      <c r="F7" s="14" t="n">
        <v>3112</v>
      </c>
      <c r="G7" s="14" t="n">
        <v>3747</v>
      </c>
      <c r="H7" s="14" t="n">
        <v>4270</v>
      </c>
      <c r="I7" s="14" t="n">
        <v>4723</v>
      </c>
      <c r="J7" s="14" t="n">
        <v>5151</v>
      </c>
      <c r="K7" s="14" t="n">
        <v>4615</v>
      </c>
      <c r="L7" s="14" t="n">
        <v>2864</v>
      </c>
      <c r="M7" s="14" t="n">
        <v>1828</v>
      </c>
      <c r="N7" s="14" t="n">
        <v>1395</v>
      </c>
      <c r="O7" s="14" t="n">
        <v>1366</v>
      </c>
      <c r="P7" s="14" t="n">
        <v>1355</v>
      </c>
      <c r="Q7" s="14" t="n">
        <v>1763</v>
      </c>
      <c r="R7" s="14" t="n">
        <v>2068</v>
      </c>
      <c r="S7" s="14" t="n">
        <v>1736</v>
      </c>
      <c r="T7" s="14" t="n">
        <v>1649</v>
      </c>
      <c r="U7" s="14" t="n">
        <v>3126</v>
      </c>
      <c r="V7" s="14" t="n">
        <v>3912</v>
      </c>
      <c r="W7" s="14" t="n">
        <v>3565</v>
      </c>
      <c r="X7" s="14" t="n">
        <v>3676</v>
      </c>
      <c r="Y7" s="14" t="n">
        <v>4035</v>
      </c>
      <c r="Z7" s="14" t="n">
        <v>2622</v>
      </c>
      <c r="AA7" s="14" t="n">
        <v>893</v>
      </c>
      <c r="AB7" s="14" t="n">
        <v>-1206</v>
      </c>
      <c r="AC7" s="14" t="n">
        <v>-668</v>
      </c>
      <c r="AD7" s="14" t="n">
        <v>-435</v>
      </c>
      <c r="AE7" s="14" t="n">
        <v>-35</v>
      </c>
      <c r="AF7" s="14" t="n">
        <v>1079</v>
      </c>
      <c r="AG7" s="14" t="n">
        <v>1832</v>
      </c>
      <c r="AH7" s="14" t="n">
        <v>2737</v>
      </c>
      <c r="AI7" s="14" t="n">
        <v>3348</v>
      </c>
      <c r="AJ7" s="14" t="n">
        <v>2963</v>
      </c>
      <c r="AK7" s="14" t="n">
        <v>3508</v>
      </c>
      <c r="AL7" s="14" t="n">
        <v>5054</v>
      </c>
      <c r="AM7" s="14" t="n">
        <v>7646</v>
      </c>
      <c r="AN7" s="14" t="n">
        <v>17755</v>
      </c>
      <c r="AO7" s="14" t="n">
        <v>35056</v>
      </c>
    </row>
    <row r="8">
      <c r="A8" s="5" t="inlineStr">
        <is>
          <t>영업이익 (Operating income)</t>
        </is>
      </c>
      <c r="B8" s="14" t="n">
        <v>-32</v>
      </c>
      <c r="C8" s="14" t="n">
        <v>359</v>
      </c>
      <c r="D8" s="14" t="n">
        <v>1044</v>
      </c>
      <c r="E8" s="14" t="n">
        <v>1963</v>
      </c>
      <c r="F8" s="14" t="n">
        <v>2502</v>
      </c>
      <c r="G8" s="14" t="n">
        <v>3097</v>
      </c>
      <c r="H8" s="14" t="n">
        <v>3567</v>
      </c>
      <c r="I8" s="14" t="n">
        <v>3953</v>
      </c>
      <c r="J8" s="14" t="n">
        <v>4377</v>
      </c>
      <c r="K8" s="14" t="n">
        <v>3759</v>
      </c>
      <c r="L8" s="14" t="n">
        <v>1957</v>
      </c>
      <c r="M8" s="14" t="n">
        <v>1010</v>
      </c>
      <c r="N8" s="14" t="n">
        <v>650</v>
      </c>
      <c r="O8" s="14" t="n">
        <v>518</v>
      </c>
      <c r="P8" s="14" t="n">
        <v>440</v>
      </c>
      <c r="Q8" s="14" t="n">
        <v>888</v>
      </c>
      <c r="R8" s="14" t="n">
        <v>1157</v>
      </c>
      <c r="S8" s="14" t="n">
        <v>866</v>
      </c>
      <c r="T8" s="14" t="n">
        <v>663</v>
      </c>
      <c r="U8" s="14" t="n">
        <v>1799</v>
      </c>
      <c r="V8" s="14" t="n">
        <v>2955</v>
      </c>
      <c r="W8" s="14" t="n">
        <v>2631</v>
      </c>
      <c r="X8" s="14" t="n">
        <v>2546</v>
      </c>
      <c r="Y8" s="14" t="n">
        <v>3004</v>
      </c>
      <c r="Z8" s="14" t="n">
        <v>1521</v>
      </c>
      <c r="AA8" s="14" t="n">
        <v>-209</v>
      </c>
      <c r="AB8" s="14" t="n">
        <v>-2303</v>
      </c>
      <c r="AC8" s="14" t="n">
        <v>-1761</v>
      </c>
      <c r="AD8" s="14" t="n">
        <v>-1472</v>
      </c>
      <c r="AE8" s="14" t="n">
        <v>-1128</v>
      </c>
      <c r="AF8" s="14" t="n">
        <v>191</v>
      </c>
      <c r="AG8" s="14" t="n">
        <v>719</v>
      </c>
      <c r="AH8" s="14" t="n">
        <v>1522</v>
      </c>
      <c r="AI8" s="14" t="n">
        <v>2174</v>
      </c>
      <c r="AJ8" s="14" t="n">
        <v>1773</v>
      </c>
      <c r="AK8" s="14" t="n">
        <v>2169</v>
      </c>
      <c r="AL8" s="14" t="n">
        <v>3654</v>
      </c>
      <c r="AM8" s="14" t="n">
        <v>6136</v>
      </c>
      <c r="AN8" s="14" t="n">
        <v>16135</v>
      </c>
      <c r="AO8" s="14" t="n">
        <v>33318</v>
      </c>
    </row>
    <row r="9">
      <c r="A9" s="5" t="inlineStr">
        <is>
          <t>당기순이익 (Net income)</t>
        </is>
      </c>
      <c r="B9" s="14" t="n">
        <v>-170</v>
      </c>
      <c r="C9" s="14" t="n">
        <v>180</v>
      </c>
      <c r="D9" s="14" t="n">
        <v>894</v>
      </c>
      <c r="E9" s="14" t="n">
        <v>1647</v>
      </c>
      <c r="F9" s="14" t="n">
        <v>2368</v>
      </c>
      <c r="G9" s="14" t="n">
        <v>2678</v>
      </c>
      <c r="H9" s="14" t="n">
        <v>3309</v>
      </c>
      <c r="I9" s="14" t="n">
        <v>3823</v>
      </c>
      <c r="J9" s="14" t="n">
        <v>4325</v>
      </c>
      <c r="K9" s="14" t="n">
        <v>3293</v>
      </c>
      <c r="L9" s="14" t="n">
        <v>1619</v>
      </c>
      <c r="M9" s="14" t="n">
        <v>840</v>
      </c>
      <c r="N9" s="14" t="n">
        <v>561</v>
      </c>
      <c r="O9" s="14" t="n">
        <v>491</v>
      </c>
      <c r="P9" s="14" t="n">
        <v>405</v>
      </c>
      <c r="Q9" s="14" t="n">
        <v>803</v>
      </c>
      <c r="R9" s="14" t="n">
        <v>988</v>
      </c>
      <c r="S9" s="14" t="n">
        <v>803</v>
      </c>
      <c r="T9" s="14" t="n">
        <v>603</v>
      </c>
      <c r="U9" s="14" t="n">
        <v>1735</v>
      </c>
      <c r="V9" s="14" t="n">
        <v>2720</v>
      </c>
      <c r="W9" s="14" t="n">
        <v>2306</v>
      </c>
      <c r="X9" s="14" t="n">
        <v>2263</v>
      </c>
      <c r="Y9" s="14" t="n">
        <v>2626</v>
      </c>
      <c r="Z9" s="14" t="n">
        <v>1492</v>
      </c>
      <c r="AA9" s="14" t="n">
        <v>-195</v>
      </c>
      <c r="AB9" s="14" t="n">
        <v>-2312</v>
      </c>
      <c r="AC9" s="14" t="n">
        <v>-1896</v>
      </c>
      <c r="AD9" s="14" t="n">
        <v>-1430</v>
      </c>
      <c r="AE9" s="14" t="n">
        <v>-1234</v>
      </c>
      <c r="AF9" s="14" t="n">
        <v>793</v>
      </c>
      <c r="AG9" s="14" t="n">
        <v>332</v>
      </c>
      <c r="AH9" s="14" t="n">
        <v>887</v>
      </c>
      <c r="AI9" s="14" t="n">
        <v>1870</v>
      </c>
      <c r="AJ9" s="14" t="n">
        <v>1583</v>
      </c>
      <c r="AK9" s="14" t="n">
        <v>1885</v>
      </c>
      <c r="AL9" s="14" t="n">
        <v>3201</v>
      </c>
      <c r="AM9" s="14" t="n">
        <v>5240</v>
      </c>
      <c r="AN9" s="14" t="n">
        <v>13785</v>
      </c>
      <c r="AO9" s="14" t="n">
        <v>28243</v>
      </c>
    </row>
    <row r="10">
      <c r="A10" s="5" t="inlineStr">
        <is>
          <t>시가총액 · 분기말 (Market cap, quarter-end)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>
        <v>92826</v>
      </c>
      <c r="X10" s="14" t="n">
        <v>99703</v>
      </c>
      <c r="Y10" s="14" t="n">
        <v>83284</v>
      </c>
      <c r="Z10" s="14" t="n">
        <v>62697</v>
      </c>
      <c r="AA10" s="14" t="n">
        <v>60540</v>
      </c>
      <c r="AB10" s="14" t="n">
        <v>61734</v>
      </c>
      <c r="AC10" s="14" t="n">
        <v>75654</v>
      </c>
      <c r="AD10" s="14" t="n">
        <v>76794</v>
      </c>
      <c r="AE10" s="14" t="n">
        <v>84036</v>
      </c>
      <c r="AF10" s="14" t="n">
        <v>100305</v>
      </c>
      <c r="AG10" s="14" t="n">
        <v>140056</v>
      </c>
      <c r="AH10" s="14" t="n">
        <v>105987</v>
      </c>
      <c r="AI10" s="14" t="n">
        <v>109395</v>
      </c>
      <c r="AJ10" s="14" t="n">
        <v>102655</v>
      </c>
      <c r="AK10" s="14" t="n">
        <v>108319</v>
      </c>
      <c r="AL10" s="14" t="n">
        <v>136884</v>
      </c>
      <c r="AM10" s="14" t="n">
        <v>259273</v>
      </c>
      <c r="AN10" s="14" t="n">
        <v>468752</v>
      </c>
      <c r="AO10" s="14" t="n">
        <v>1042654</v>
      </c>
    </row>
    <row r="11">
      <c r="A11" s="4" t="inlineStr">
        <is>
          <t>PE ratio  (당기순이익 ÷ 시가총액)</t>
        </is>
      </c>
      <c r="B11" s="15">
        <f>IF(OR(B9="",B10=""),"",B9/B10)</f>
        <v/>
      </c>
      <c r="C11" s="15">
        <f>IF(OR(C9="",C10=""),"",C9/C10)</f>
        <v/>
      </c>
      <c r="D11" s="15">
        <f>IF(OR(D9="",D10=""),"",D9/D10)</f>
        <v/>
      </c>
      <c r="E11" s="15">
        <f>IF(OR(E9="",E10=""),"",E9/E10)</f>
        <v/>
      </c>
      <c r="F11" s="15">
        <f>IF(OR(F9="",F10=""),"",F9/F10)</f>
        <v/>
      </c>
      <c r="G11" s="15">
        <f>IF(OR(G9="",G10=""),"",G9/G10)</f>
        <v/>
      </c>
      <c r="H11" s="15">
        <f>IF(OR(H9="",H10=""),"",H9/H10)</f>
        <v/>
      </c>
      <c r="I11" s="15">
        <f>IF(OR(I9="",I10=""),"",I9/I10)</f>
        <v/>
      </c>
      <c r="J11" s="15">
        <f>IF(OR(J9="",J10=""),"",J9/J10)</f>
        <v/>
      </c>
      <c r="K11" s="15">
        <f>IF(OR(K9="",K10=""),"",K9/K10)</f>
        <v/>
      </c>
      <c r="L11" s="15">
        <f>IF(OR(L9="",L10=""),"",L9/L10)</f>
        <v/>
      </c>
      <c r="M11" s="15">
        <f>IF(OR(M9="",M10=""),"",M9/M10)</f>
        <v/>
      </c>
      <c r="N11" s="15">
        <f>IF(OR(N9="",N10=""),"",N9/N10)</f>
        <v/>
      </c>
      <c r="O11" s="15">
        <f>IF(OR(O9="",O10=""),"",O9/O10)</f>
        <v/>
      </c>
      <c r="P11" s="15">
        <f>IF(OR(P9="",P10=""),"",P9/P10)</f>
        <v/>
      </c>
      <c r="Q11" s="15">
        <f>IF(OR(Q9="",Q10=""),"",Q9/Q10)</f>
        <v/>
      </c>
      <c r="R11" s="15">
        <f>IF(OR(R9="",R10=""),"",R9/R10)</f>
        <v/>
      </c>
      <c r="S11" s="15">
        <f>IF(OR(S9="",S10=""),"",S9/S10)</f>
        <v/>
      </c>
      <c r="T11" s="15">
        <f>IF(OR(T9="",T10=""),"",T9/T10)</f>
        <v/>
      </c>
      <c r="U11" s="15">
        <f>IF(OR(U9="",U10=""),"",U9/U10)</f>
        <v/>
      </c>
      <c r="V11" s="15">
        <f>IF(OR(V9="",V10=""),"",V9/V10)</f>
        <v/>
      </c>
      <c r="W11" s="15">
        <f>IF(OR(W9="",W10=""),"",W9/W10)</f>
        <v/>
      </c>
      <c r="X11" s="15">
        <f>IF(OR(X9="",X10=""),"",X9/X10)</f>
        <v/>
      </c>
      <c r="Y11" s="15">
        <f>IF(OR(Y9="",Y10=""),"",Y9/Y10)</f>
        <v/>
      </c>
      <c r="Z11" s="15">
        <f>IF(OR(Z9="",Z10=""),"",Z9/Z10)</f>
        <v/>
      </c>
      <c r="AA11" s="15">
        <f>IF(OR(AA9="",AA10=""),"",AA9/AA10)</f>
        <v/>
      </c>
      <c r="AB11" s="15">
        <f>IF(OR(AB9="",AB10=""),"",AB9/AB10)</f>
        <v/>
      </c>
      <c r="AC11" s="15">
        <f>IF(OR(AC9="",AC10=""),"",AC9/AC10)</f>
        <v/>
      </c>
      <c r="AD11" s="15">
        <f>IF(OR(AD9="",AD10=""),"",AD9/AD10)</f>
        <v/>
      </c>
      <c r="AE11" s="15">
        <f>IF(OR(AE9="",AE10=""),"",AE9/AE10)</f>
        <v/>
      </c>
      <c r="AF11" s="15">
        <f>IF(OR(AF9="",AF10=""),"",AF9/AF10)</f>
        <v/>
      </c>
      <c r="AG11" s="15">
        <f>IF(OR(AG9="",AG10=""),"",AG9/AG10)</f>
        <v/>
      </c>
      <c r="AH11" s="15">
        <f>IF(OR(AH9="",AH10=""),"",AH9/AH10)</f>
        <v/>
      </c>
      <c r="AI11" s="15">
        <f>IF(OR(AI9="",AI10=""),"",AI9/AI10)</f>
        <v/>
      </c>
      <c r="AJ11" s="15">
        <f>IF(OR(AJ9="",AJ10=""),"",AJ9/AJ10)</f>
        <v/>
      </c>
      <c r="AK11" s="15">
        <f>IF(OR(AK9="",AK10=""),"",AK9/AK10)</f>
        <v/>
      </c>
      <c r="AL11" s="15">
        <f>IF(OR(AL9="",AL10=""),"",AL9/AL10)</f>
        <v/>
      </c>
      <c r="AM11" s="15">
        <f>IF(OR(AM9="",AM10=""),"",AM9/AM10)</f>
        <v/>
      </c>
      <c r="AN11" s="15">
        <f>IF(OR(AN9="",AN10=""),"",AN9/AN10)</f>
        <v/>
      </c>
      <c r="AO11" s="15">
        <f>IF(OR(AO9="",AO10=""),"",AO9/AO10)</f>
        <v/>
      </c>
    </row>
    <row r="12">
      <c r="A12" s="5" t="inlineStr">
        <is>
          <t>참고: 통상적 P/E  (시가총액 ÷ 당기순이익)</t>
        </is>
      </c>
      <c r="B12" s="16">
        <f>IF(OR(B9="",B10="",N(B9)&lt;=0),"",B10/B9)</f>
        <v/>
      </c>
      <c r="C12" s="16">
        <f>IF(OR(C9="",C10="",N(C9)&lt;=0),"",C10/C9)</f>
        <v/>
      </c>
      <c r="D12" s="16">
        <f>IF(OR(D9="",D10="",N(D9)&lt;=0),"",D10/D9)</f>
        <v/>
      </c>
      <c r="E12" s="16">
        <f>IF(OR(E9="",E10="",N(E9)&lt;=0),"",E10/E9)</f>
        <v/>
      </c>
      <c r="F12" s="16">
        <f>IF(OR(F9="",F10="",N(F9)&lt;=0),"",F10/F9)</f>
        <v/>
      </c>
      <c r="G12" s="16">
        <f>IF(OR(G9="",G10="",N(G9)&lt;=0),"",G10/G9)</f>
        <v/>
      </c>
      <c r="H12" s="16">
        <f>IF(OR(H9="",H10="",N(H9)&lt;=0),"",H10/H9)</f>
        <v/>
      </c>
      <c r="I12" s="16">
        <f>IF(OR(I9="",I10="",N(I9)&lt;=0),"",I10/I9)</f>
        <v/>
      </c>
      <c r="J12" s="16">
        <f>IF(OR(J9="",J10="",N(J9)&lt;=0),"",J10/J9)</f>
        <v/>
      </c>
      <c r="K12" s="16">
        <f>IF(OR(K9="",K10="",N(K9)&lt;=0),"",K10/K9)</f>
        <v/>
      </c>
      <c r="L12" s="16">
        <f>IF(OR(L9="",L10="",N(L9)&lt;=0),"",L10/L9)</f>
        <v/>
      </c>
      <c r="M12" s="16">
        <f>IF(OR(M9="",M10="",N(M9)&lt;=0),"",M10/M9)</f>
        <v/>
      </c>
      <c r="N12" s="16">
        <f>IF(OR(N9="",N10="",N(N9)&lt;=0),"",N10/N9)</f>
        <v/>
      </c>
      <c r="O12" s="16">
        <f>IF(OR(O9="",O10="",N(O9)&lt;=0),"",O10/O9)</f>
        <v/>
      </c>
      <c r="P12" s="16">
        <f>IF(OR(P9="",P10="",N(P9)&lt;=0),"",P10/P9)</f>
        <v/>
      </c>
      <c r="Q12" s="16">
        <f>IF(OR(Q9="",Q10="",N(Q9)&lt;=0),"",Q10/Q9)</f>
        <v/>
      </c>
      <c r="R12" s="16">
        <f>IF(OR(R9="",R10="",N(R9)&lt;=0),"",R10/R9)</f>
        <v/>
      </c>
      <c r="S12" s="16">
        <f>IF(OR(S9="",S10="",N(S9)&lt;=0),"",S10/S9)</f>
        <v/>
      </c>
      <c r="T12" s="16">
        <f>IF(OR(T9="",T10="",N(T9)&lt;=0),"",T10/T9)</f>
        <v/>
      </c>
      <c r="U12" s="16">
        <f>IF(OR(U9="",U10="",N(U9)&lt;=0),"",U10/U9)</f>
        <v/>
      </c>
      <c r="V12" s="16">
        <f>IF(OR(V9="",V10="",N(V9)&lt;=0),"",V10/V9)</f>
        <v/>
      </c>
      <c r="W12" s="16">
        <f>IF(OR(W9="",W10="",N(W9)&lt;=0),"",W10/W9)</f>
        <v/>
      </c>
      <c r="X12" s="16">
        <f>IF(OR(X9="",X10="",N(X9)&lt;=0),"",X10/X9)</f>
        <v/>
      </c>
      <c r="Y12" s="16">
        <f>IF(OR(Y9="",Y10="",N(Y9)&lt;=0),"",Y10/Y9)</f>
        <v/>
      </c>
      <c r="Z12" s="16">
        <f>IF(OR(Z9="",Z10="",N(Z9)&lt;=0),"",Z10/Z9)</f>
        <v/>
      </c>
      <c r="AA12" s="16">
        <f>IF(OR(AA9="",AA10="",N(AA9)&lt;=0),"",AA10/AA9)</f>
        <v/>
      </c>
      <c r="AB12" s="16">
        <f>IF(OR(AB9="",AB10="",N(AB9)&lt;=0),"",AB10/AB9)</f>
        <v/>
      </c>
      <c r="AC12" s="16">
        <f>IF(OR(AC9="",AC10="",N(AC9)&lt;=0),"",AC10/AC9)</f>
        <v/>
      </c>
      <c r="AD12" s="16">
        <f>IF(OR(AD9="",AD10="",N(AD9)&lt;=0),"",AD10/AD9)</f>
        <v/>
      </c>
      <c r="AE12" s="16">
        <f>IF(OR(AE9="",AE10="",N(AE9)&lt;=0),"",AE10/AE9)</f>
        <v/>
      </c>
      <c r="AF12" s="16">
        <f>IF(OR(AF9="",AF10="",N(AF9)&lt;=0),"",AF10/AF9)</f>
        <v/>
      </c>
      <c r="AG12" s="16">
        <f>IF(OR(AG9="",AG10="",N(AG9)&lt;=0),"",AG10/AG9)</f>
        <v/>
      </c>
      <c r="AH12" s="16">
        <f>IF(OR(AH9="",AH10="",N(AH9)&lt;=0),"",AH10/AH9)</f>
        <v/>
      </c>
      <c r="AI12" s="16">
        <f>IF(OR(AI9="",AI10="",N(AI9)&lt;=0),"",AI10/AI9)</f>
        <v/>
      </c>
      <c r="AJ12" s="16">
        <f>IF(OR(AJ9="",AJ10="",N(AJ9)&lt;=0),"",AJ10/AJ9)</f>
        <v/>
      </c>
      <c r="AK12" s="16">
        <f>IF(OR(AK9="",AK10="",N(AK9)&lt;=0),"",AK10/AK9)</f>
        <v/>
      </c>
      <c r="AL12" s="16">
        <f>IF(OR(AL9="",AL10="",N(AL9)&lt;=0),"",AL10/AL9)</f>
        <v/>
      </c>
      <c r="AM12" s="16">
        <f>IF(OR(AM9="",AM10="",N(AM9)&lt;=0),"",AM10/AM9)</f>
        <v/>
      </c>
      <c r="AN12" s="16">
        <f>IF(OR(AN9="",AN10="",N(AN9)&lt;=0),"",AN10/AN9)</f>
        <v/>
      </c>
      <c r="AO12" s="16">
        <f>IF(OR(AO9="",AO10="",N(AO9)&lt;=0),"",AO10/AO9)</f>
        <v/>
      </c>
    </row>
    <row r="14">
      <c r="A14" s="3" t="inlineStr">
        <is>
          <t>재무상태표 (Balance sheet, 기말)</t>
        </is>
      </c>
    </row>
    <row r="15">
      <c r="A15" s="5" t="inlineStr">
        <is>
          <t>재고자산 (Inventories)</t>
        </is>
      </c>
      <c r="B15" s="14" t="n">
        <v>2889</v>
      </c>
      <c r="C15" s="14" t="n">
        <v>2750</v>
      </c>
      <c r="D15" s="14" t="n">
        <v>3000</v>
      </c>
      <c r="E15" s="14" t="n">
        <v>3064</v>
      </c>
      <c r="F15" s="14" t="n">
        <v>3123</v>
      </c>
      <c r="G15" s="14" t="n">
        <v>3160</v>
      </c>
      <c r="H15" s="14" t="n">
        <v>3184</v>
      </c>
      <c r="I15" s="14" t="n">
        <v>3369</v>
      </c>
      <c r="J15" s="14" t="n">
        <v>3595</v>
      </c>
      <c r="K15" s="14" t="n">
        <v>3876</v>
      </c>
      <c r="L15" s="14" t="n">
        <v>4390</v>
      </c>
      <c r="M15" s="14" t="n">
        <v>4905</v>
      </c>
      <c r="N15" s="14" t="n">
        <v>5118</v>
      </c>
      <c r="O15" s="14" t="n">
        <v>4943</v>
      </c>
      <c r="P15" s="14" t="n">
        <v>5208</v>
      </c>
      <c r="Q15" s="14" t="n">
        <v>5405</v>
      </c>
      <c r="R15" s="14" t="n">
        <v>5607</v>
      </c>
      <c r="S15" s="14" t="n">
        <v>5521</v>
      </c>
      <c r="T15" s="14" t="n">
        <v>4743</v>
      </c>
      <c r="U15" s="14" t="n">
        <v>4537</v>
      </c>
      <c r="V15" s="14" t="n">
        <v>4487</v>
      </c>
      <c r="W15" s="14" t="n">
        <v>4827</v>
      </c>
      <c r="X15" s="14" t="n">
        <v>5383</v>
      </c>
      <c r="Y15" s="14" t="n">
        <v>5629</v>
      </c>
      <c r="Z15" s="14" t="n">
        <v>6663</v>
      </c>
      <c r="AA15" s="14" t="n">
        <v>8359</v>
      </c>
      <c r="AB15" s="14" t="n">
        <v>8129</v>
      </c>
      <c r="AC15" s="14" t="n">
        <v>8238</v>
      </c>
      <c r="AD15" s="14" t="n">
        <v>8387</v>
      </c>
      <c r="AE15" s="14" t="n">
        <v>8276</v>
      </c>
      <c r="AF15" s="14" t="n">
        <v>8443</v>
      </c>
      <c r="AG15" s="14" t="n">
        <v>8512</v>
      </c>
      <c r="AH15" s="14" t="n">
        <v>8875</v>
      </c>
      <c r="AI15" s="14" t="n">
        <v>8705</v>
      </c>
      <c r="AJ15" s="14" t="n">
        <v>9007</v>
      </c>
      <c r="AK15" s="14" t="n">
        <v>8727</v>
      </c>
      <c r="AL15" s="14" t="n">
        <v>8355</v>
      </c>
      <c r="AM15" s="14" t="n">
        <v>8205</v>
      </c>
      <c r="AN15" s="14" t="n">
        <v>8267</v>
      </c>
      <c r="AO15" s="14" t="n">
        <v>8567</v>
      </c>
    </row>
    <row r="16">
      <c r="A16" s="5" t="inlineStr">
        <is>
          <t>자산총계 (Total assets)</t>
        </is>
      </c>
      <c r="B16" s="14" t="n">
        <v>27540</v>
      </c>
      <c r="C16" s="14" t="n">
        <v>27836</v>
      </c>
      <c r="D16" s="14" t="n">
        <v>32355</v>
      </c>
      <c r="E16" s="14" t="n">
        <v>33267</v>
      </c>
      <c r="F16" s="14" t="n">
        <v>35336</v>
      </c>
      <c r="G16" s="14" t="n">
        <v>37191</v>
      </c>
      <c r="H16" s="14" t="n">
        <v>41263</v>
      </c>
      <c r="I16" s="14" t="n">
        <v>41845</v>
      </c>
      <c r="J16" s="14" t="n">
        <v>43376</v>
      </c>
      <c r="K16" s="14" t="n">
        <v>44595</v>
      </c>
      <c r="L16" s="14" t="n">
        <v>47487</v>
      </c>
      <c r="M16" s="14" t="n">
        <v>46288</v>
      </c>
      <c r="N16" s="14" t="n">
        <v>48887</v>
      </c>
      <c r="O16" s="14" t="n">
        <v>49649</v>
      </c>
      <c r="P16" s="14" t="n">
        <v>49648</v>
      </c>
      <c r="Q16" s="14" t="n">
        <v>52005</v>
      </c>
      <c r="R16" s="14" t="n">
        <v>53678</v>
      </c>
      <c r="S16" s="14" t="n">
        <v>53691</v>
      </c>
      <c r="T16" s="14" t="n">
        <v>54135</v>
      </c>
      <c r="U16" s="14" t="n">
        <v>55943</v>
      </c>
      <c r="V16" s="14" t="n">
        <v>58849</v>
      </c>
      <c r="W16" s="14" t="n">
        <v>61246</v>
      </c>
      <c r="X16" s="14" t="n">
        <v>63696</v>
      </c>
      <c r="Y16" s="14" t="n">
        <v>65296</v>
      </c>
      <c r="Z16" s="14" t="n">
        <v>66283</v>
      </c>
      <c r="AA16" s="14" t="n">
        <v>67874</v>
      </c>
      <c r="AB16" s="14" t="n">
        <v>66520</v>
      </c>
      <c r="AC16" s="14" t="n">
        <v>65680</v>
      </c>
      <c r="AD16" s="14" t="n">
        <v>64254</v>
      </c>
      <c r="AE16" s="14" t="n">
        <v>63776</v>
      </c>
      <c r="AF16" s="14" t="n">
        <v>65718</v>
      </c>
      <c r="AG16" s="14" t="n">
        <v>66255</v>
      </c>
      <c r="AH16" s="14" t="n">
        <v>69416</v>
      </c>
      <c r="AI16" s="14" t="n">
        <v>71461</v>
      </c>
      <c r="AJ16" s="14" t="n">
        <v>73053</v>
      </c>
      <c r="AK16" s="14" t="n">
        <v>78397</v>
      </c>
      <c r="AL16" s="14" t="n">
        <v>82798</v>
      </c>
      <c r="AM16" s="14" t="n">
        <v>85971</v>
      </c>
      <c r="AN16" s="14" t="n">
        <v>101509</v>
      </c>
      <c r="AO16" s="14" t="n">
        <v>134112</v>
      </c>
    </row>
    <row r="18">
      <c r="A18" s="3" t="inlineStr">
        <is>
          <t>비율 (Ratios)</t>
        </is>
      </c>
    </row>
    <row r="19">
      <c r="A19" s="4" t="inlineStr">
        <is>
          <t>Gross profit margin  (영업이익 ÷ 매출액)</t>
        </is>
      </c>
      <c r="B19" s="15">
        <f>IF(OR(B8="",B6=""),"",B8/B6)</f>
        <v/>
      </c>
      <c r="C19" s="15">
        <f>IF(OR(C8="",C6=""),"",C8/C6)</f>
        <v/>
      </c>
      <c r="D19" s="15">
        <f>IF(OR(D8="",D6=""),"",D8/D6)</f>
        <v/>
      </c>
      <c r="E19" s="15">
        <f>IF(OR(E8="",E6=""),"",E8/E6)</f>
        <v/>
      </c>
      <c r="F19" s="15">
        <f>IF(OR(F8="",F6=""),"",F8/F6)</f>
        <v/>
      </c>
      <c r="G19" s="15">
        <f>IF(OR(G8="",G6=""),"",G8/G6)</f>
        <v/>
      </c>
      <c r="H19" s="15">
        <f>IF(OR(H8="",H6=""),"",H8/H6)</f>
        <v/>
      </c>
      <c r="I19" s="15">
        <f>IF(OR(I8="",I6=""),"",I8/I6)</f>
        <v/>
      </c>
      <c r="J19" s="15">
        <f>IF(OR(J8="",J6=""),"",J8/J6)</f>
        <v/>
      </c>
      <c r="K19" s="15">
        <f>IF(OR(K8="",K6=""),"",K8/K6)</f>
        <v/>
      </c>
      <c r="L19" s="15">
        <f>IF(OR(L8="",L6=""),"",L8/L6)</f>
        <v/>
      </c>
      <c r="M19" s="15">
        <f>IF(OR(M8="",M6=""),"",M8/M6)</f>
        <v/>
      </c>
      <c r="N19" s="15">
        <f>IF(OR(N8="",N6=""),"",N8/N6)</f>
        <v/>
      </c>
      <c r="O19" s="15">
        <f>IF(OR(O8="",O6=""),"",O8/O6)</f>
        <v/>
      </c>
      <c r="P19" s="15">
        <f>IF(OR(P8="",P6=""),"",P8/P6)</f>
        <v/>
      </c>
      <c r="Q19" s="15">
        <f>IF(OR(Q8="",Q6=""),"",Q8/Q6)</f>
        <v/>
      </c>
      <c r="R19" s="15">
        <f>IF(OR(R8="",R6=""),"",R8/R6)</f>
        <v/>
      </c>
      <c r="S19" s="15">
        <f>IF(OR(S8="",S6=""),"",S8/S6)</f>
        <v/>
      </c>
      <c r="T19" s="15">
        <f>IF(OR(T8="",T6=""),"",T8/T6)</f>
        <v/>
      </c>
      <c r="U19" s="15">
        <f>IF(OR(U8="",U6=""),"",U8/U6)</f>
        <v/>
      </c>
      <c r="V19" s="15">
        <f>IF(OR(V8="",V6=""),"",V8/V6)</f>
        <v/>
      </c>
      <c r="W19" s="15">
        <f>IF(OR(W8="",W6=""),"",W8/W6)</f>
        <v/>
      </c>
      <c r="X19" s="15">
        <f>IF(OR(X8="",X6=""),"",X8/X6)</f>
        <v/>
      </c>
      <c r="Y19" s="15">
        <f>IF(OR(Y8="",Y6=""),"",Y8/Y6)</f>
        <v/>
      </c>
      <c r="Z19" s="15">
        <f>IF(OR(Z8="",Z6=""),"",Z8/Z6)</f>
        <v/>
      </c>
      <c r="AA19" s="15">
        <f>IF(OR(AA8="",AA6=""),"",AA8/AA6)</f>
        <v/>
      </c>
      <c r="AB19" s="15">
        <f>IF(OR(AB8="",AB6=""),"",AB8/AB6)</f>
        <v/>
      </c>
      <c r="AC19" s="15">
        <f>IF(OR(AC8="",AC6=""),"",AC8/AC6)</f>
        <v/>
      </c>
      <c r="AD19" s="15">
        <f>IF(OR(AD8="",AD6=""),"",AD8/AD6)</f>
        <v/>
      </c>
      <c r="AE19" s="15">
        <f>IF(OR(AE8="",AE6=""),"",AE8/AE6)</f>
        <v/>
      </c>
      <c r="AF19" s="15">
        <f>IF(OR(AF8="",AF6=""),"",AF8/AF6)</f>
        <v/>
      </c>
      <c r="AG19" s="15">
        <f>IF(OR(AG8="",AG6=""),"",AG8/AG6)</f>
        <v/>
      </c>
      <c r="AH19" s="15">
        <f>IF(OR(AH8="",AH6=""),"",AH8/AH6)</f>
        <v/>
      </c>
      <c r="AI19" s="15">
        <f>IF(OR(AI8="",AI6=""),"",AI8/AI6)</f>
        <v/>
      </c>
      <c r="AJ19" s="15">
        <f>IF(OR(AJ8="",AJ6=""),"",AJ8/AJ6)</f>
        <v/>
      </c>
      <c r="AK19" s="15">
        <f>IF(OR(AK8="",AK6=""),"",AK8/AK6)</f>
        <v/>
      </c>
      <c r="AL19" s="15">
        <f>IF(OR(AL8="",AL6=""),"",AL8/AL6)</f>
        <v/>
      </c>
      <c r="AM19" s="15">
        <f>IF(OR(AM8="",AM6=""),"",AM8/AM6)</f>
        <v/>
      </c>
      <c r="AN19" s="15">
        <f>IF(OR(AN8="",AN6=""),"",AN8/AN6)</f>
        <v/>
      </c>
      <c r="AO19" s="15">
        <f>IF(OR(AO8="",AO6=""),"",AO8/AO6)</f>
        <v/>
      </c>
    </row>
    <row r="20">
      <c r="A20" s="4" t="inlineStr">
        <is>
          <t>Profit margin  (당기순이익 ÷ 매출액)</t>
        </is>
      </c>
      <c r="B20" s="15">
        <f>IF(OR(B9="",B6=""),"",B9/B6)</f>
        <v/>
      </c>
      <c r="C20" s="15">
        <f>IF(OR(C9="",C6=""),"",C9/C6)</f>
        <v/>
      </c>
      <c r="D20" s="15">
        <f>IF(OR(D9="",D6=""),"",D9/D6)</f>
        <v/>
      </c>
      <c r="E20" s="15">
        <f>IF(OR(E9="",E6=""),"",E9/E6)</f>
        <v/>
      </c>
      <c r="F20" s="15">
        <f>IF(OR(F9="",F6=""),"",F9/F6)</f>
        <v/>
      </c>
      <c r="G20" s="15">
        <f>IF(OR(G9="",G6=""),"",G9/G6)</f>
        <v/>
      </c>
      <c r="H20" s="15">
        <f>IF(OR(H9="",H6=""),"",H9/H6)</f>
        <v/>
      </c>
      <c r="I20" s="15">
        <f>IF(OR(I9="",I6=""),"",I9/I6)</f>
        <v/>
      </c>
      <c r="J20" s="15">
        <f>IF(OR(J9="",J6=""),"",J9/J6)</f>
        <v/>
      </c>
      <c r="K20" s="15">
        <f>IF(OR(K9="",K6=""),"",K9/K6)</f>
        <v/>
      </c>
      <c r="L20" s="15">
        <f>IF(OR(L9="",L6=""),"",L9/L6)</f>
        <v/>
      </c>
      <c r="M20" s="15">
        <f>IF(OR(M9="",M6=""),"",M9/M6)</f>
        <v/>
      </c>
      <c r="N20" s="15">
        <f>IF(OR(N9="",N6=""),"",N9/N6)</f>
        <v/>
      </c>
      <c r="O20" s="15">
        <f>IF(OR(O9="",O6=""),"",O9/O6)</f>
        <v/>
      </c>
      <c r="P20" s="15">
        <f>IF(OR(P9="",P6=""),"",P9/P6)</f>
        <v/>
      </c>
      <c r="Q20" s="15">
        <f>IF(OR(Q9="",Q6=""),"",Q9/Q6)</f>
        <v/>
      </c>
      <c r="R20" s="15">
        <f>IF(OR(R9="",R6=""),"",R9/R6)</f>
        <v/>
      </c>
      <c r="S20" s="15">
        <f>IF(OR(S9="",S6=""),"",S9/S6)</f>
        <v/>
      </c>
      <c r="T20" s="15">
        <f>IF(OR(T9="",T6=""),"",T9/T6)</f>
        <v/>
      </c>
      <c r="U20" s="15">
        <f>IF(OR(U9="",U6=""),"",U9/U6)</f>
        <v/>
      </c>
      <c r="V20" s="15">
        <f>IF(OR(V9="",V6=""),"",V9/V6)</f>
        <v/>
      </c>
      <c r="W20" s="15">
        <f>IF(OR(W9="",W6=""),"",W9/W6)</f>
        <v/>
      </c>
      <c r="X20" s="15">
        <f>IF(OR(X9="",X6=""),"",X9/X6)</f>
        <v/>
      </c>
      <c r="Y20" s="15">
        <f>IF(OR(Y9="",Y6=""),"",Y9/Y6)</f>
        <v/>
      </c>
      <c r="Z20" s="15">
        <f>IF(OR(Z9="",Z6=""),"",Z9/Z6)</f>
        <v/>
      </c>
      <c r="AA20" s="15">
        <f>IF(OR(AA9="",AA6=""),"",AA9/AA6)</f>
        <v/>
      </c>
      <c r="AB20" s="15">
        <f>IF(OR(AB9="",AB6=""),"",AB9/AB6)</f>
        <v/>
      </c>
      <c r="AC20" s="15">
        <f>IF(OR(AC9="",AC6=""),"",AC9/AC6)</f>
        <v/>
      </c>
      <c r="AD20" s="15">
        <f>IF(OR(AD9="",AD6=""),"",AD9/AD6)</f>
        <v/>
      </c>
      <c r="AE20" s="15">
        <f>IF(OR(AE9="",AE6=""),"",AE9/AE6)</f>
        <v/>
      </c>
      <c r="AF20" s="15">
        <f>IF(OR(AF9="",AF6=""),"",AF9/AF6)</f>
        <v/>
      </c>
      <c r="AG20" s="15">
        <f>IF(OR(AG9="",AG6=""),"",AG9/AG6)</f>
        <v/>
      </c>
      <c r="AH20" s="15">
        <f>IF(OR(AH9="",AH6=""),"",AH9/AH6)</f>
        <v/>
      </c>
      <c r="AI20" s="15">
        <f>IF(OR(AI9="",AI6=""),"",AI9/AI6)</f>
        <v/>
      </c>
      <c r="AJ20" s="15">
        <f>IF(OR(AJ9="",AJ6=""),"",AJ9/AJ6)</f>
        <v/>
      </c>
      <c r="AK20" s="15">
        <f>IF(OR(AK9="",AK6=""),"",AK9/AK6)</f>
        <v/>
      </c>
      <c r="AL20" s="15">
        <f>IF(OR(AL9="",AL6=""),"",AL9/AL6)</f>
        <v/>
      </c>
      <c r="AM20" s="15">
        <f>IF(OR(AM9="",AM6=""),"",AM9/AM6)</f>
        <v/>
      </c>
      <c r="AN20" s="15">
        <f>IF(OR(AN9="",AN6=""),"",AN9/AN6)</f>
        <v/>
      </c>
      <c r="AO20" s="15">
        <f>IF(OR(AO9="",AO6=""),"",AO9/AO6)</f>
        <v/>
      </c>
    </row>
    <row r="21">
      <c r="A21" s="4" t="inlineStr">
        <is>
          <t>재고자산 / 자산총계  (Inventory ÷ total assets)</t>
        </is>
      </c>
      <c r="B21" s="15">
        <f>IF(OR(B15="",B16=""),"",B15/B16)</f>
        <v/>
      </c>
      <c r="C21" s="15">
        <f>IF(OR(C15="",C16=""),"",C15/C16)</f>
        <v/>
      </c>
      <c r="D21" s="15">
        <f>IF(OR(D15="",D16=""),"",D15/D16)</f>
        <v/>
      </c>
      <c r="E21" s="15">
        <f>IF(OR(E15="",E16=""),"",E15/E16)</f>
        <v/>
      </c>
      <c r="F21" s="15">
        <f>IF(OR(F15="",F16=""),"",F15/F16)</f>
        <v/>
      </c>
      <c r="G21" s="15">
        <f>IF(OR(G15="",G16=""),"",G15/G16)</f>
        <v/>
      </c>
      <c r="H21" s="15">
        <f>IF(OR(H15="",H16=""),"",H15/H16)</f>
        <v/>
      </c>
      <c r="I21" s="15">
        <f>IF(OR(I15="",I16=""),"",I15/I16)</f>
        <v/>
      </c>
      <c r="J21" s="15">
        <f>IF(OR(J15="",J16=""),"",J15/J16)</f>
        <v/>
      </c>
      <c r="K21" s="15">
        <f>IF(OR(K15="",K16=""),"",K15/K16)</f>
        <v/>
      </c>
      <c r="L21" s="15">
        <f>IF(OR(L15="",L16=""),"",L15/L16)</f>
        <v/>
      </c>
      <c r="M21" s="15">
        <f>IF(OR(M15="",M16=""),"",M15/M16)</f>
        <v/>
      </c>
      <c r="N21" s="15">
        <f>IF(OR(N15="",N16=""),"",N15/N16)</f>
        <v/>
      </c>
      <c r="O21" s="15">
        <f>IF(OR(O15="",O16=""),"",O15/O16)</f>
        <v/>
      </c>
      <c r="P21" s="15">
        <f>IF(OR(P15="",P16=""),"",P15/P16)</f>
        <v/>
      </c>
      <c r="Q21" s="15">
        <f>IF(OR(Q15="",Q16=""),"",Q15/Q16)</f>
        <v/>
      </c>
      <c r="R21" s="15">
        <f>IF(OR(R15="",R16=""),"",R15/R16)</f>
        <v/>
      </c>
      <c r="S21" s="15">
        <f>IF(OR(S15="",S16=""),"",S15/S16)</f>
        <v/>
      </c>
      <c r="T21" s="15">
        <f>IF(OR(T15="",T16=""),"",T15/T16)</f>
        <v/>
      </c>
      <c r="U21" s="15">
        <f>IF(OR(U15="",U16=""),"",U15/U16)</f>
        <v/>
      </c>
      <c r="V21" s="15">
        <f>IF(OR(V15="",V16=""),"",V15/V16)</f>
        <v/>
      </c>
      <c r="W21" s="15">
        <f>IF(OR(W15="",W16=""),"",W15/W16)</f>
        <v/>
      </c>
      <c r="X21" s="15">
        <f>IF(OR(X15="",X16=""),"",X15/X16)</f>
        <v/>
      </c>
      <c r="Y21" s="15">
        <f>IF(OR(Y15="",Y16=""),"",Y15/Y16)</f>
        <v/>
      </c>
      <c r="Z21" s="15">
        <f>IF(OR(Z15="",Z16=""),"",Z15/Z16)</f>
        <v/>
      </c>
      <c r="AA21" s="15">
        <f>IF(OR(AA15="",AA16=""),"",AA15/AA16)</f>
        <v/>
      </c>
      <c r="AB21" s="15">
        <f>IF(OR(AB15="",AB16=""),"",AB15/AB16)</f>
        <v/>
      </c>
      <c r="AC21" s="15">
        <f>IF(OR(AC15="",AC16=""),"",AC15/AC16)</f>
        <v/>
      </c>
      <c r="AD21" s="15">
        <f>IF(OR(AD15="",AD16=""),"",AD15/AD16)</f>
        <v/>
      </c>
      <c r="AE21" s="15">
        <f>IF(OR(AE15="",AE16=""),"",AE15/AE16)</f>
        <v/>
      </c>
      <c r="AF21" s="15">
        <f>IF(OR(AF15="",AF16=""),"",AF15/AF16)</f>
        <v/>
      </c>
      <c r="AG21" s="15">
        <f>IF(OR(AG15="",AG16=""),"",AG15/AG16)</f>
        <v/>
      </c>
      <c r="AH21" s="15">
        <f>IF(OR(AH15="",AH16=""),"",AH15/AH16)</f>
        <v/>
      </c>
      <c r="AI21" s="15">
        <f>IF(OR(AI15="",AI16=""),"",AI15/AI16)</f>
        <v/>
      </c>
      <c r="AJ21" s="15">
        <f>IF(OR(AJ15="",AJ16=""),"",AJ15/AJ16)</f>
        <v/>
      </c>
      <c r="AK21" s="15">
        <f>IF(OR(AK15="",AK16=""),"",AK15/AK16)</f>
        <v/>
      </c>
      <c r="AL21" s="15">
        <f>IF(OR(AL15="",AL16=""),"",AL15/AL16)</f>
        <v/>
      </c>
      <c r="AM21" s="15">
        <f>IF(OR(AM15="",AM16=""),"",AM15/AM16)</f>
        <v/>
      </c>
      <c r="AN21" s="15">
        <f>IF(OR(AN15="",AN16=""),"",AN15/AN16)</f>
        <v/>
      </c>
      <c r="AO21" s="15">
        <f>IF(OR(AO15="",AO16=""),"",AO15/AO16)</f>
        <v/>
      </c>
    </row>
    <row r="22">
      <c r="A22" s="5" t="inlineStr">
        <is>
          <t>참고: 매출총이익률  (매출총이익 ÷ 매출액)</t>
        </is>
      </c>
      <c r="B22" s="15">
        <f>IF(OR(B7="",B6=""),"",B7/B6)</f>
        <v/>
      </c>
      <c r="C22" s="15">
        <f>IF(OR(C7="",C6=""),"",C7/C6)</f>
        <v/>
      </c>
      <c r="D22" s="15">
        <f>IF(OR(D7="",D6=""),"",D7/D6)</f>
        <v/>
      </c>
      <c r="E22" s="15">
        <f>IF(OR(E7="",E6=""),"",E7/E6)</f>
        <v/>
      </c>
      <c r="F22" s="15">
        <f>IF(OR(F7="",F6=""),"",F7/F6)</f>
        <v/>
      </c>
      <c r="G22" s="15">
        <f>IF(OR(G7="",G6=""),"",G7/G6)</f>
        <v/>
      </c>
      <c r="H22" s="15">
        <f>IF(OR(H7="",H6=""),"",H7/H6)</f>
        <v/>
      </c>
      <c r="I22" s="15">
        <f>IF(OR(I7="",I6=""),"",I7/I6)</f>
        <v/>
      </c>
      <c r="J22" s="15">
        <f>IF(OR(J7="",J6=""),"",J7/J6)</f>
        <v/>
      </c>
      <c r="K22" s="15">
        <f>IF(OR(K7="",K6=""),"",K7/K6)</f>
        <v/>
      </c>
      <c r="L22" s="15">
        <f>IF(OR(L7="",L6=""),"",L7/L6)</f>
        <v/>
      </c>
      <c r="M22" s="15">
        <f>IF(OR(M7="",M6=""),"",M7/M6)</f>
        <v/>
      </c>
      <c r="N22" s="15">
        <f>IF(OR(N7="",N6=""),"",N7/N6)</f>
        <v/>
      </c>
      <c r="O22" s="15">
        <f>IF(OR(O7="",O6=""),"",O7/O6)</f>
        <v/>
      </c>
      <c r="P22" s="15">
        <f>IF(OR(P7="",P6=""),"",P7/P6)</f>
        <v/>
      </c>
      <c r="Q22" s="15">
        <f>IF(OR(Q7="",Q6=""),"",Q7/Q6)</f>
        <v/>
      </c>
      <c r="R22" s="15">
        <f>IF(OR(R7="",R6=""),"",R7/R6)</f>
        <v/>
      </c>
      <c r="S22" s="15">
        <f>IF(OR(S7="",S6=""),"",S7/S6)</f>
        <v/>
      </c>
      <c r="T22" s="15">
        <f>IF(OR(T7="",T6=""),"",T7/T6)</f>
        <v/>
      </c>
      <c r="U22" s="15">
        <f>IF(OR(U7="",U6=""),"",U7/U6)</f>
        <v/>
      </c>
      <c r="V22" s="15">
        <f>IF(OR(V7="",V6=""),"",V7/V6)</f>
        <v/>
      </c>
      <c r="W22" s="15">
        <f>IF(OR(W7="",W6=""),"",W7/W6)</f>
        <v/>
      </c>
      <c r="X22" s="15">
        <f>IF(OR(X7="",X6=""),"",X7/X6)</f>
        <v/>
      </c>
      <c r="Y22" s="15">
        <f>IF(OR(Y7="",Y6=""),"",Y7/Y6)</f>
        <v/>
      </c>
      <c r="Z22" s="15">
        <f>IF(OR(Z7="",Z6=""),"",Z7/Z6)</f>
        <v/>
      </c>
      <c r="AA22" s="15">
        <f>IF(OR(AA7="",AA6=""),"",AA7/AA6)</f>
        <v/>
      </c>
      <c r="AB22" s="15">
        <f>IF(OR(AB7="",AB6=""),"",AB7/AB6)</f>
        <v/>
      </c>
      <c r="AC22" s="15">
        <f>IF(OR(AC7="",AC6=""),"",AC7/AC6)</f>
        <v/>
      </c>
      <c r="AD22" s="15">
        <f>IF(OR(AD7="",AD6=""),"",AD7/AD6)</f>
        <v/>
      </c>
      <c r="AE22" s="15">
        <f>IF(OR(AE7="",AE6=""),"",AE7/AE6)</f>
        <v/>
      </c>
      <c r="AF22" s="15">
        <f>IF(OR(AF7="",AF6=""),"",AF7/AF6)</f>
        <v/>
      </c>
      <c r="AG22" s="15">
        <f>IF(OR(AG7="",AG6=""),"",AG7/AG6)</f>
        <v/>
      </c>
      <c r="AH22" s="15">
        <f>IF(OR(AH7="",AH6=""),"",AH7/AH6)</f>
        <v/>
      </c>
      <c r="AI22" s="15">
        <f>IF(OR(AI7="",AI6=""),"",AI7/AI6)</f>
        <v/>
      </c>
      <c r="AJ22" s="15">
        <f>IF(OR(AJ7="",AJ6=""),"",AJ7/AJ6)</f>
        <v/>
      </c>
      <c r="AK22" s="15">
        <f>IF(OR(AK7="",AK6=""),"",AK7/AK6)</f>
        <v/>
      </c>
      <c r="AL22" s="15">
        <f>IF(OR(AL7="",AL6=""),"",AL7/AL6)</f>
        <v/>
      </c>
      <c r="AM22" s="15">
        <f>IF(OR(AM7="",AM6=""),"",AM7/AM6)</f>
        <v/>
      </c>
      <c r="AN22" s="15">
        <f>IF(OR(AN7="",AN6=""),"",AN7/AN6)</f>
        <v/>
      </c>
      <c r="AO22" s="15">
        <f>IF(OR(AO7="",AO6=""),"",AO7/AO6)</f>
        <v/>
      </c>
    </row>
    <row r="24">
      <c r="A24" s="3" t="inlineStr">
        <is>
          <t>US$ 환산 (Converted to US$ millions)</t>
        </is>
      </c>
    </row>
    <row r="25">
      <c r="A25" s="5" t="inlineStr">
        <is>
          <t>적용환율 · 분기말 KRW/USD (FX rate applied)</t>
        </is>
      </c>
      <c r="B25" s="17" t="n">
        <v>1</v>
      </c>
      <c r="C25" s="17" t="n">
        <v>1</v>
      </c>
      <c r="D25" s="17" t="n">
        <v>1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</v>
      </c>
      <c r="L25" s="17" t="n">
        <v>1</v>
      </c>
      <c r="M25" s="17" t="n">
        <v>1</v>
      </c>
      <c r="N25" s="17" t="n">
        <v>1</v>
      </c>
      <c r="O25" s="17" t="n">
        <v>1</v>
      </c>
      <c r="P25" s="17" t="n">
        <v>1</v>
      </c>
      <c r="Q25" s="17" t="n">
        <v>1</v>
      </c>
      <c r="R25" s="17" t="n">
        <v>1</v>
      </c>
      <c r="S25" s="17" t="n">
        <v>1</v>
      </c>
      <c r="T25" s="17" t="n">
        <v>1</v>
      </c>
      <c r="U25" s="17" t="n">
        <v>1</v>
      </c>
      <c r="V25" s="17" t="n">
        <v>1</v>
      </c>
      <c r="W25" s="17" t="n">
        <v>1</v>
      </c>
      <c r="X25" s="17" t="n">
        <v>1</v>
      </c>
      <c r="Y25" s="17" t="n">
        <v>1</v>
      </c>
      <c r="Z25" s="17" t="n">
        <v>1</v>
      </c>
      <c r="AA25" s="17" t="n">
        <v>1</v>
      </c>
      <c r="AB25" s="17" t="n">
        <v>1</v>
      </c>
      <c r="AC25" s="17" t="n">
        <v>1</v>
      </c>
      <c r="AD25" s="17" t="n">
        <v>1</v>
      </c>
      <c r="AE25" s="17" t="n">
        <v>1</v>
      </c>
      <c r="AF25" s="17" t="n">
        <v>1</v>
      </c>
      <c r="AG25" s="17" t="n">
        <v>1</v>
      </c>
      <c r="AH25" s="17" t="n">
        <v>1</v>
      </c>
      <c r="AI25" s="17" t="n">
        <v>1</v>
      </c>
      <c r="AJ25" s="17" t="n">
        <v>1</v>
      </c>
      <c r="AK25" s="17" t="n">
        <v>1</v>
      </c>
      <c r="AL25" s="17" t="n">
        <v>1</v>
      </c>
      <c r="AM25" s="17" t="n">
        <v>1</v>
      </c>
      <c r="AN25" s="17" t="n">
        <v>1</v>
      </c>
      <c r="AO25" s="17" t="n">
        <v>1</v>
      </c>
    </row>
    <row r="26">
      <c r="A26" s="5" t="inlineStr">
        <is>
          <t>재고자산 (Inventories, US$m)</t>
        </is>
      </c>
      <c r="B26" s="10">
        <f>IF(B15="","",B15)</f>
        <v/>
      </c>
      <c r="C26" s="10">
        <f>IF(C15="","",C15)</f>
        <v/>
      </c>
      <c r="D26" s="10">
        <f>IF(D15="","",D15)</f>
        <v/>
      </c>
      <c r="E26" s="10">
        <f>IF(E15="","",E15)</f>
        <v/>
      </c>
      <c r="F26" s="10">
        <f>IF(F15="","",F15)</f>
        <v/>
      </c>
      <c r="G26" s="10">
        <f>IF(G15="","",G15)</f>
        <v/>
      </c>
      <c r="H26" s="10">
        <f>IF(H15="","",H15)</f>
        <v/>
      </c>
      <c r="I26" s="10">
        <f>IF(I15="","",I15)</f>
        <v/>
      </c>
      <c r="J26" s="10">
        <f>IF(J15="","",J15)</f>
        <v/>
      </c>
      <c r="K26" s="10">
        <f>IF(K15="","",K15)</f>
        <v/>
      </c>
      <c r="L26" s="10">
        <f>IF(L15="","",L15)</f>
        <v/>
      </c>
      <c r="M26" s="10">
        <f>IF(M15="","",M15)</f>
        <v/>
      </c>
      <c r="N26" s="10">
        <f>IF(N15="","",N15)</f>
        <v/>
      </c>
      <c r="O26" s="10">
        <f>IF(O15="","",O15)</f>
        <v/>
      </c>
      <c r="P26" s="10">
        <f>IF(P15="","",P15)</f>
        <v/>
      </c>
      <c r="Q26" s="10">
        <f>IF(Q15="","",Q15)</f>
        <v/>
      </c>
      <c r="R26" s="10">
        <f>IF(R15="","",R15)</f>
        <v/>
      </c>
      <c r="S26" s="10">
        <f>IF(S15="","",S15)</f>
        <v/>
      </c>
      <c r="T26" s="10">
        <f>IF(T15="","",T15)</f>
        <v/>
      </c>
      <c r="U26" s="10">
        <f>IF(U15="","",U15)</f>
        <v/>
      </c>
      <c r="V26" s="10">
        <f>IF(V15="","",V15)</f>
        <v/>
      </c>
      <c r="W26" s="10">
        <f>IF(W15="","",W15)</f>
        <v/>
      </c>
      <c r="X26" s="10">
        <f>IF(X15="","",X15)</f>
        <v/>
      </c>
      <c r="Y26" s="10">
        <f>IF(Y15="","",Y15)</f>
        <v/>
      </c>
      <c r="Z26" s="10">
        <f>IF(Z15="","",Z15)</f>
        <v/>
      </c>
      <c r="AA26" s="10">
        <f>IF(AA15="","",AA15)</f>
        <v/>
      </c>
      <c r="AB26" s="10">
        <f>IF(AB15="","",AB15)</f>
        <v/>
      </c>
      <c r="AC26" s="10">
        <f>IF(AC15="","",AC15)</f>
        <v/>
      </c>
      <c r="AD26" s="10">
        <f>IF(AD15="","",AD15)</f>
        <v/>
      </c>
      <c r="AE26" s="10">
        <f>IF(AE15="","",AE15)</f>
        <v/>
      </c>
      <c r="AF26" s="10">
        <f>IF(AF15="","",AF15)</f>
        <v/>
      </c>
      <c r="AG26" s="10">
        <f>IF(AG15="","",AG15)</f>
        <v/>
      </c>
      <c r="AH26" s="10">
        <f>IF(AH15="","",AH15)</f>
        <v/>
      </c>
      <c r="AI26" s="10">
        <f>IF(AI15="","",AI15)</f>
        <v/>
      </c>
      <c r="AJ26" s="10">
        <f>IF(AJ15="","",AJ15)</f>
        <v/>
      </c>
      <c r="AK26" s="10">
        <f>IF(AK15="","",AK15)</f>
        <v/>
      </c>
      <c r="AL26" s="10">
        <f>IF(AL15="","",AL15)</f>
        <v/>
      </c>
      <c r="AM26" s="10">
        <f>IF(AM15="","",AM15)</f>
        <v/>
      </c>
      <c r="AN26" s="10">
        <f>IF(AN15="","",AN15)</f>
        <v/>
      </c>
      <c r="AO26" s="10">
        <f>IF(AO15="","",AO15)</f>
        <v/>
      </c>
    </row>
    <row r="27">
      <c r="A27" s="5" t="inlineStr">
        <is>
          <t>영업이익 (Operating income, US$m)</t>
        </is>
      </c>
      <c r="B27" s="10">
        <f>IF(B8="","",B8)</f>
        <v/>
      </c>
      <c r="C27" s="10">
        <f>IF(C8="","",C8)</f>
        <v/>
      </c>
      <c r="D27" s="10">
        <f>IF(D8="","",D8)</f>
        <v/>
      </c>
      <c r="E27" s="10">
        <f>IF(E8="","",E8)</f>
        <v/>
      </c>
      <c r="F27" s="10">
        <f>IF(F8="","",F8)</f>
        <v/>
      </c>
      <c r="G27" s="10">
        <f>IF(G8="","",G8)</f>
        <v/>
      </c>
      <c r="H27" s="10">
        <f>IF(H8="","",H8)</f>
        <v/>
      </c>
      <c r="I27" s="10">
        <f>IF(I8="","",I8)</f>
        <v/>
      </c>
      <c r="J27" s="10">
        <f>IF(J8="","",J8)</f>
        <v/>
      </c>
      <c r="K27" s="10">
        <f>IF(K8="","",K8)</f>
        <v/>
      </c>
      <c r="L27" s="10">
        <f>IF(L8="","",L8)</f>
        <v/>
      </c>
      <c r="M27" s="10">
        <f>IF(M8="","",M8)</f>
        <v/>
      </c>
      <c r="N27" s="10">
        <f>IF(N8="","",N8)</f>
        <v/>
      </c>
      <c r="O27" s="10">
        <f>IF(O8="","",O8)</f>
        <v/>
      </c>
      <c r="P27" s="10">
        <f>IF(P8="","",P8)</f>
        <v/>
      </c>
      <c r="Q27" s="10">
        <f>IF(Q8="","",Q8)</f>
        <v/>
      </c>
      <c r="R27" s="10">
        <f>IF(R8="","",R8)</f>
        <v/>
      </c>
      <c r="S27" s="10">
        <f>IF(S8="","",S8)</f>
        <v/>
      </c>
      <c r="T27" s="10">
        <f>IF(T8="","",T8)</f>
        <v/>
      </c>
      <c r="U27" s="10">
        <f>IF(U8="","",U8)</f>
        <v/>
      </c>
      <c r="V27" s="10">
        <f>IF(V8="","",V8)</f>
        <v/>
      </c>
      <c r="W27" s="10">
        <f>IF(W8="","",W8)</f>
        <v/>
      </c>
      <c r="X27" s="10">
        <f>IF(X8="","",X8)</f>
        <v/>
      </c>
      <c r="Y27" s="10">
        <f>IF(Y8="","",Y8)</f>
        <v/>
      </c>
      <c r="Z27" s="10">
        <f>IF(Z8="","",Z8)</f>
        <v/>
      </c>
      <c r="AA27" s="10">
        <f>IF(AA8="","",AA8)</f>
        <v/>
      </c>
      <c r="AB27" s="10">
        <f>IF(AB8="","",AB8)</f>
        <v/>
      </c>
      <c r="AC27" s="10">
        <f>IF(AC8="","",AC8)</f>
        <v/>
      </c>
      <c r="AD27" s="10">
        <f>IF(AD8="","",AD8)</f>
        <v/>
      </c>
      <c r="AE27" s="10">
        <f>IF(AE8="","",AE8)</f>
        <v/>
      </c>
      <c r="AF27" s="10">
        <f>IF(AF8="","",AF8)</f>
        <v/>
      </c>
      <c r="AG27" s="10">
        <f>IF(AG8="","",AG8)</f>
        <v/>
      </c>
      <c r="AH27" s="10">
        <f>IF(AH8="","",AH8)</f>
        <v/>
      </c>
      <c r="AI27" s="10">
        <f>IF(AI8="","",AI8)</f>
        <v/>
      </c>
      <c r="AJ27" s="10">
        <f>IF(AJ8="","",AJ8)</f>
        <v/>
      </c>
      <c r="AK27" s="10">
        <f>IF(AK8="","",AK8)</f>
        <v/>
      </c>
      <c r="AL27" s="10">
        <f>IF(AL8="","",AL8)</f>
        <v/>
      </c>
      <c r="AM27" s="10">
        <f>IF(AM8="","",AM8)</f>
        <v/>
      </c>
      <c r="AN27" s="10">
        <f>IF(AN8="","",AN8)</f>
        <v/>
      </c>
      <c r="AO27" s="10">
        <f>IF(AO8="","",AO8)</f>
        <v/>
      </c>
    </row>
    <row r="28">
      <c r="A28" s="5" t="inlineStr">
        <is>
          <t>시가총액 (Market cap, US$m)</t>
        </is>
      </c>
      <c r="B28" s="10">
        <f>IF(B10="","",B10)</f>
        <v/>
      </c>
      <c r="C28" s="10">
        <f>IF(C10="","",C10)</f>
        <v/>
      </c>
      <c r="D28" s="10">
        <f>IF(D10="","",D10)</f>
        <v/>
      </c>
      <c r="E28" s="10">
        <f>IF(E10="","",E10)</f>
        <v/>
      </c>
      <c r="F28" s="10">
        <f>IF(F10="","",F10)</f>
        <v/>
      </c>
      <c r="G28" s="10">
        <f>IF(G10="","",G10)</f>
        <v/>
      </c>
      <c r="H28" s="10">
        <f>IF(H10="","",H10)</f>
        <v/>
      </c>
      <c r="I28" s="10">
        <f>IF(I10="","",I10)</f>
        <v/>
      </c>
      <c r="J28" s="10">
        <f>IF(J10="","",J10)</f>
        <v/>
      </c>
      <c r="K28" s="10">
        <f>IF(K10="","",K10)</f>
        <v/>
      </c>
      <c r="L28" s="10">
        <f>IF(L10="","",L10)</f>
        <v/>
      </c>
      <c r="M28" s="10">
        <f>IF(M10="","",M10)</f>
        <v/>
      </c>
      <c r="N28" s="10">
        <f>IF(N10="","",N10)</f>
        <v/>
      </c>
      <c r="O28" s="10">
        <f>IF(O10="","",O10)</f>
        <v/>
      </c>
      <c r="P28" s="10">
        <f>IF(P10="","",P10)</f>
        <v/>
      </c>
      <c r="Q28" s="10">
        <f>IF(Q10="","",Q10)</f>
        <v/>
      </c>
      <c r="R28" s="10">
        <f>IF(R10="","",R10)</f>
        <v/>
      </c>
      <c r="S28" s="10">
        <f>IF(S10="","",S10)</f>
        <v/>
      </c>
      <c r="T28" s="10">
        <f>IF(T10="","",T10)</f>
        <v/>
      </c>
      <c r="U28" s="10">
        <f>IF(U10="","",U10)</f>
        <v/>
      </c>
      <c r="V28" s="10">
        <f>IF(V10="","",V10)</f>
        <v/>
      </c>
      <c r="W28" s="10">
        <f>IF(W10="","",W10)</f>
        <v/>
      </c>
      <c r="X28" s="10">
        <f>IF(X10="","",X10)</f>
        <v/>
      </c>
      <c r="Y28" s="10">
        <f>IF(Y10="","",Y10)</f>
        <v/>
      </c>
      <c r="Z28" s="10">
        <f>IF(Z10="","",Z10)</f>
        <v/>
      </c>
      <c r="AA28" s="10">
        <f>IF(AA10="","",AA10)</f>
        <v/>
      </c>
      <c r="AB28" s="10">
        <f>IF(AB10="","",AB10)</f>
        <v/>
      </c>
      <c r="AC28" s="10">
        <f>IF(AC10="","",AC10)</f>
        <v/>
      </c>
      <c r="AD28" s="10">
        <f>IF(AD10="","",AD10)</f>
        <v/>
      </c>
      <c r="AE28" s="10">
        <f>IF(AE10="","",AE10)</f>
        <v/>
      </c>
      <c r="AF28" s="10">
        <f>IF(AF10="","",AF10)</f>
        <v/>
      </c>
      <c r="AG28" s="10">
        <f>IF(AG10="","",AG10)</f>
        <v/>
      </c>
      <c r="AH28" s="10">
        <f>IF(AH10="","",AH10)</f>
        <v/>
      </c>
      <c r="AI28" s="10">
        <f>IF(AI10="","",AI10)</f>
        <v/>
      </c>
      <c r="AJ28" s="10">
        <f>IF(AJ10="","",AJ10)</f>
        <v/>
      </c>
      <c r="AK28" s="10">
        <f>IF(AK10="","",AK10)</f>
        <v/>
      </c>
      <c r="AL28" s="10">
        <f>IF(AL10="","",AL10)</f>
        <v/>
      </c>
      <c r="AM28" s="10">
        <f>IF(AM10="","",AM10)</f>
        <v/>
      </c>
      <c r="AN28" s="10">
        <f>IF(AN10="","",AN10)</f>
        <v/>
      </c>
      <c r="AO28" s="10">
        <f>IF(AO10="","",AO10)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K13" sqref="K13"/>
    </sheetView>
  </sheetViews>
  <sheetFormatPr baseColWidth="8" defaultRowHeight="14.5"/>
  <cols>
    <col width="34" customWidth="1" style="20" min="1" max="1"/>
    <col width="9.453125" customWidth="1" style="20" min="2" max="11"/>
  </cols>
  <sheetData>
    <row r="1" ht="18" customHeight="1" s="20">
      <c r="A1" s="1" t="inlineStr">
        <is>
          <t>메모리 3사 연간 그래프 (Annual Charts, 2016~2025)</t>
        </is>
      </c>
    </row>
    <row r="2">
      <c r="A2" s="2" t="inlineStr">
        <is>
          <t>아래 데이터는 데이터 탭과 연결되어 있습니다. 원자료를 채우면 그래프도 함께 채워집니다.</t>
        </is>
      </c>
    </row>
    <row r="4">
      <c r="A4" s="3" t="inlineStr">
        <is>
          <t>차트용 데이터 (Chart data)</t>
        </is>
      </c>
      <c r="B4" s="18" t="inlineStr">
        <is>
          <t>2016</t>
        </is>
      </c>
      <c r="C4" s="18" t="inlineStr">
        <is>
          <t>2017</t>
        </is>
      </c>
      <c r="D4" s="18" t="inlineStr">
        <is>
          <t>2018</t>
        </is>
      </c>
      <c r="E4" s="18" t="inlineStr">
        <is>
          <t>2019</t>
        </is>
      </c>
      <c r="F4" s="18" t="inlineStr">
        <is>
          <t>2020</t>
        </is>
      </c>
      <c r="G4" s="18" t="inlineStr">
        <is>
          <t>2021</t>
        </is>
      </c>
      <c r="H4" s="18" t="inlineStr">
        <is>
          <t>2022</t>
        </is>
      </c>
      <c r="I4" s="18" t="inlineStr">
        <is>
          <t>2023</t>
        </is>
      </c>
      <c r="J4" s="18" t="inlineStr">
        <is>
          <t>2024</t>
        </is>
      </c>
      <c r="K4" s="18" t="inlineStr">
        <is>
          <t>2025</t>
        </is>
      </c>
    </row>
    <row r="5">
      <c r="A5" s="5" t="inlineStr">
        <is>
          <t>SK하이닉스 — 영업이익 (US$m)</t>
        </is>
      </c>
      <c r="B5" s="10">
        <f>연간_10년!B11</f>
        <v/>
      </c>
      <c r="C5" s="10">
        <f>연간_10년!C11</f>
        <v/>
      </c>
      <c r="D5" s="10">
        <f>연간_10년!D11</f>
        <v/>
      </c>
      <c r="E5" s="10">
        <f>연간_10년!E11</f>
        <v/>
      </c>
      <c r="F5" s="10">
        <f>연간_10년!F11</f>
        <v/>
      </c>
      <c r="G5" s="10">
        <f>연간_10년!G11</f>
        <v/>
      </c>
      <c r="H5" s="10">
        <f>연간_10년!H11</f>
        <v/>
      </c>
      <c r="I5" s="10">
        <f>연간_10년!I11</f>
        <v/>
      </c>
      <c r="J5" s="10">
        <f>연간_10년!J11</f>
        <v/>
      </c>
      <c r="K5" s="10">
        <f>연간_10년!K11</f>
        <v/>
      </c>
    </row>
    <row r="6">
      <c r="A6" s="5" t="inlineStr">
        <is>
          <t>SK하이닉스 — 재고자산 (US$m)</t>
        </is>
      </c>
      <c r="B6" s="10">
        <f>연간_10년!B14</f>
        <v/>
      </c>
      <c r="C6" s="10">
        <f>연간_10년!C14</f>
        <v/>
      </c>
      <c r="D6" s="10">
        <f>연간_10년!D14</f>
        <v/>
      </c>
      <c r="E6" s="10">
        <f>연간_10년!E14</f>
        <v/>
      </c>
      <c r="F6" s="10">
        <f>연간_10년!F14</f>
        <v/>
      </c>
      <c r="G6" s="10">
        <f>연간_10년!G14</f>
        <v/>
      </c>
      <c r="H6" s="10">
        <f>연간_10년!H14</f>
        <v/>
      </c>
      <c r="I6" s="10">
        <f>연간_10년!I14</f>
        <v/>
      </c>
      <c r="J6" s="10">
        <f>연간_10년!J14</f>
        <v/>
      </c>
      <c r="K6" s="10">
        <f>연간_10년!K14</f>
        <v/>
      </c>
    </row>
    <row r="7">
      <c r="A7" s="5" t="inlineStr">
        <is>
          <t>SK하이닉스 — Gross profit margin</t>
        </is>
      </c>
      <c r="B7" s="15">
        <f>연간_10년!B17</f>
        <v/>
      </c>
      <c r="C7" s="15">
        <f>연간_10년!C17</f>
        <v/>
      </c>
      <c r="D7" s="15">
        <f>연간_10년!D17</f>
        <v/>
      </c>
      <c r="E7" s="15">
        <f>연간_10년!E17</f>
        <v/>
      </c>
      <c r="F7" s="15">
        <f>연간_10년!F17</f>
        <v/>
      </c>
      <c r="G7" s="15">
        <f>연간_10년!G17</f>
        <v/>
      </c>
      <c r="H7" s="15">
        <f>연간_10년!H17</f>
        <v/>
      </c>
      <c r="I7" s="15">
        <f>연간_10년!I17</f>
        <v/>
      </c>
      <c r="J7" s="15">
        <f>연간_10년!J17</f>
        <v/>
      </c>
      <c r="K7" s="15">
        <f>연간_10년!K17</f>
        <v/>
      </c>
    </row>
    <row r="8">
      <c r="A8" s="5" t="inlineStr">
        <is>
          <t>SK하이닉스 — PE ratio</t>
        </is>
      </c>
      <c r="B8" s="15">
        <f>연간_10년!B19</f>
        <v/>
      </c>
      <c r="C8" s="15">
        <f>연간_10년!C19</f>
        <v/>
      </c>
      <c r="D8" s="15">
        <f>연간_10년!D19</f>
        <v/>
      </c>
      <c r="E8" s="15">
        <f>연간_10년!E19</f>
        <v/>
      </c>
      <c r="F8" s="15">
        <f>연간_10년!F19</f>
        <v/>
      </c>
      <c r="G8" s="15">
        <f>연간_10년!G19</f>
        <v/>
      </c>
      <c r="H8" s="15">
        <f>연간_10년!H19</f>
        <v/>
      </c>
      <c r="I8" s="15">
        <f>연간_10년!I19</f>
        <v/>
      </c>
      <c r="J8" s="15">
        <f>연간_10년!J19</f>
        <v/>
      </c>
      <c r="K8" s="15">
        <f>연간_10년!K19</f>
        <v/>
      </c>
    </row>
    <row r="9">
      <c r="A9" s="5" t="inlineStr">
        <is>
          <t>삼성전자 — 영업이익 (US$m)</t>
        </is>
      </c>
      <c r="B9" s="10">
        <f>연간_10년!M11</f>
        <v/>
      </c>
      <c r="C9" s="10">
        <f>연간_10년!N11</f>
        <v/>
      </c>
      <c r="D9" s="10">
        <f>연간_10년!O11</f>
        <v/>
      </c>
      <c r="E9" s="10">
        <f>연간_10년!P11</f>
        <v/>
      </c>
      <c r="F9" s="10">
        <f>연간_10년!Q11</f>
        <v/>
      </c>
      <c r="G9" s="10">
        <f>연간_10년!R11</f>
        <v/>
      </c>
      <c r="H9" s="10">
        <f>연간_10년!S11</f>
        <v/>
      </c>
      <c r="I9" s="10">
        <f>연간_10년!T11</f>
        <v/>
      </c>
      <c r="J9" s="10">
        <f>연간_10년!U11</f>
        <v/>
      </c>
      <c r="K9" s="10">
        <f>연간_10년!V11</f>
        <v/>
      </c>
    </row>
    <row r="10">
      <c r="A10" s="5" t="inlineStr">
        <is>
          <t>삼성전자 — 재고자산 (US$m)</t>
        </is>
      </c>
      <c r="B10" s="10">
        <f>연간_10년!M14</f>
        <v/>
      </c>
      <c r="C10" s="10">
        <f>연간_10년!N14</f>
        <v/>
      </c>
      <c r="D10" s="10">
        <f>연간_10년!O14</f>
        <v/>
      </c>
      <c r="E10" s="10">
        <f>연간_10년!P14</f>
        <v/>
      </c>
      <c r="F10" s="10">
        <f>연간_10년!Q14</f>
        <v/>
      </c>
      <c r="G10" s="10">
        <f>연간_10년!R14</f>
        <v/>
      </c>
      <c r="H10" s="10">
        <f>연간_10년!S14</f>
        <v/>
      </c>
      <c r="I10" s="10">
        <f>연간_10년!T14</f>
        <v/>
      </c>
      <c r="J10" s="10">
        <f>연간_10년!U14</f>
        <v/>
      </c>
      <c r="K10" s="10">
        <f>연간_10년!V14</f>
        <v/>
      </c>
    </row>
    <row r="11">
      <c r="A11" s="5" t="inlineStr">
        <is>
          <t>삼성전자 — Gross profit margin</t>
        </is>
      </c>
      <c r="B11" s="15">
        <f>연간_10년!M17</f>
        <v/>
      </c>
      <c r="C11" s="15">
        <f>연간_10년!N17</f>
        <v/>
      </c>
      <c r="D11" s="15">
        <f>연간_10년!O17</f>
        <v/>
      </c>
      <c r="E11" s="15">
        <f>연간_10년!P17</f>
        <v/>
      </c>
      <c r="F11" s="15">
        <f>연간_10년!Q17</f>
        <v/>
      </c>
      <c r="G11" s="15">
        <f>연간_10년!R17</f>
        <v/>
      </c>
      <c r="H11" s="15">
        <f>연간_10년!S17</f>
        <v/>
      </c>
      <c r="I11" s="15">
        <f>연간_10년!T17</f>
        <v/>
      </c>
      <c r="J11" s="15">
        <f>연간_10년!U17</f>
        <v/>
      </c>
      <c r="K11" s="15">
        <f>연간_10년!V17</f>
        <v/>
      </c>
    </row>
    <row r="12">
      <c r="A12" s="5" t="inlineStr">
        <is>
          <t>삼성전자 — PE ratio</t>
        </is>
      </c>
      <c r="B12" s="15">
        <f>연간_10년!M19</f>
        <v/>
      </c>
      <c r="C12" s="15">
        <f>연간_10년!N19</f>
        <v/>
      </c>
      <c r="D12" s="15">
        <f>연간_10년!O19</f>
        <v/>
      </c>
      <c r="E12" s="15">
        <f>연간_10년!P19</f>
        <v/>
      </c>
      <c r="F12" s="15">
        <f>연간_10년!Q19</f>
        <v/>
      </c>
      <c r="G12" s="15">
        <f>연간_10년!R19</f>
        <v/>
      </c>
      <c r="H12" s="15">
        <f>연간_10년!S19</f>
        <v/>
      </c>
      <c r="I12" s="15">
        <f>연간_10년!T19</f>
        <v/>
      </c>
      <c r="J12" s="15">
        <f>연간_10년!U19</f>
        <v/>
      </c>
      <c r="K12" s="15">
        <f>연간_10년!V19</f>
        <v/>
      </c>
    </row>
    <row r="13">
      <c r="A13" s="5" t="inlineStr">
        <is>
          <t>마이크론 — 영업이익 (US$m)</t>
        </is>
      </c>
      <c r="B13" s="10">
        <f>연간_10년!X11</f>
        <v/>
      </c>
      <c r="C13" s="10">
        <f>연간_10년!Y11</f>
        <v/>
      </c>
      <c r="D13" s="10">
        <f>연간_10년!Z11</f>
        <v/>
      </c>
      <c r="E13" s="10">
        <f>연간_10년!AA11</f>
        <v/>
      </c>
      <c r="F13" s="10">
        <f>연간_10년!AB11</f>
        <v/>
      </c>
      <c r="G13" s="10">
        <f>연간_10년!AC11</f>
        <v/>
      </c>
      <c r="H13" s="10">
        <f>연간_10년!AD11</f>
        <v/>
      </c>
      <c r="I13" s="10">
        <f>연간_10년!AE11</f>
        <v/>
      </c>
      <c r="J13" s="10">
        <f>연간_10년!AF11</f>
        <v/>
      </c>
      <c r="K13" s="10">
        <f>연간_10년!AG11</f>
        <v/>
      </c>
    </row>
    <row r="14">
      <c r="A14" s="5" t="inlineStr">
        <is>
          <t>마이크론 — 재고자산 (US$m)</t>
        </is>
      </c>
      <c r="B14" s="10">
        <f>연간_10년!X14</f>
        <v/>
      </c>
      <c r="C14" s="10">
        <f>연간_10년!Y14</f>
        <v/>
      </c>
      <c r="D14" s="10">
        <f>연간_10년!Z14</f>
        <v/>
      </c>
      <c r="E14" s="10">
        <f>연간_10년!AA14</f>
        <v/>
      </c>
      <c r="F14" s="10">
        <f>연간_10년!AB14</f>
        <v/>
      </c>
      <c r="G14" s="10">
        <f>연간_10년!AC14</f>
        <v/>
      </c>
      <c r="H14" s="10">
        <f>연간_10년!AD14</f>
        <v/>
      </c>
      <c r="I14" s="10">
        <f>연간_10년!AE14</f>
        <v/>
      </c>
      <c r="J14" s="10">
        <f>연간_10년!AF14</f>
        <v/>
      </c>
      <c r="K14" s="10">
        <f>연간_10년!AG14</f>
        <v/>
      </c>
    </row>
    <row r="15">
      <c r="A15" s="5" t="inlineStr">
        <is>
          <t>마이크론 — Gross profit margin</t>
        </is>
      </c>
      <c r="B15" s="15">
        <f>연간_10년!X17</f>
        <v/>
      </c>
      <c r="C15" s="15">
        <f>연간_10년!Y17</f>
        <v/>
      </c>
      <c r="D15" s="15">
        <f>연간_10년!Z17</f>
        <v/>
      </c>
      <c r="E15" s="15">
        <f>연간_10년!AA17</f>
        <v/>
      </c>
      <c r="F15" s="15">
        <f>연간_10년!AB17</f>
        <v/>
      </c>
      <c r="G15" s="15">
        <f>연간_10년!AC17</f>
        <v/>
      </c>
      <c r="H15" s="15">
        <f>연간_10년!AD17</f>
        <v/>
      </c>
      <c r="I15" s="15">
        <f>연간_10년!AE17</f>
        <v/>
      </c>
      <c r="J15" s="15">
        <f>연간_10년!AF17</f>
        <v/>
      </c>
      <c r="K15" s="15">
        <f>연간_10년!AG17</f>
        <v/>
      </c>
    </row>
    <row r="16">
      <c r="A16" s="5" t="inlineStr">
        <is>
          <t>마이크론 — PE ratio</t>
        </is>
      </c>
      <c r="B16" s="15">
        <f>연간_10년!X19</f>
        <v/>
      </c>
      <c r="C16" s="15">
        <f>연간_10년!Y19</f>
        <v/>
      </c>
      <c r="D16" s="15">
        <f>연간_10년!Z19</f>
        <v/>
      </c>
      <c r="E16" s="15">
        <f>연간_10년!AA19</f>
        <v/>
      </c>
      <c r="F16" s="15">
        <f>연간_10년!AB19</f>
        <v/>
      </c>
      <c r="G16" s="15">
        <f>연간_10년!AC19</f>
        <v/>
      </c>
      <c r="H16" s="15">
        <f>연간_10년!AD19</f>
        <v/>
      </c>
      <c r="I16" s="15">
        <f>연간_10년!AE19</f>
        <v/>
      </c>
      <c r="J16" s="15">
        <f>연간_10년!AF19</f>
        <v/>
      </c>
      <c r="K16" s="15">
        <f>연간_10년!AG19</f>
        <v/>
      </c>
    </row>
    <row r="18">
      <c r="A18" s="3" t="inlineStr">
        <is>
          <t>3사 비교 블록 (All three companies)</t>
        </is>
      </c>
      <c r="B18" s="18" t="inlineStr">
        <is>
          <t>2016</t>
        </is>
      </c>
      <c r="C18" s="18" t="inlineStr">
        <is>
          <t>2017</t>
        </is>
      </c>
      <c r="D18" s="18" t="inlineStr">
        <is>
          <t>2018</t>
        </is>
      </c>
      <c r="E18" s="18" t="inlineStr">
        <is>
          <t>2019</t>
        </is>
      </c>
      <c r="F18" s="18" t="inlineStr">
        <is>
          <t>2020</t>
        </is>
      </c>
      <c r="G18" s="18" t="inlineStr">
        <is>
          <t>2021</t>
        </is>
      </c>
      <c r="H18" s="18" t="inlineStr">
        <is>
          <t>2022</t>
        </is>
      </c>
      <c r="I18" s="18" t="inlineStr">
        <is>
          <t>2023</t>
        </is>
      </c>
      <c r="J18" s="18" t="inlineStr">
        <is>
          <t>2024</t>
        </is>
      </c>
      <c r="K18" s="18" t="inlineStr">
        <is>
          <t>2025</t>
        </is>
      </c>
    </row>
    <row r="19">
      <c r="A19" s="5" t="inlineStr">
        <is>
          <t>SK하이닉스 — Gross profit margin</t>
        </is>
      </c>
      <c r="B19" s="15">
        <f>B7</f>
        <v/>
      </c>
      <c r="C19" s="15">
        <f>C7</f>
        <v/>
      </c>
      <c r="D19" s="15">
        <f>D7</f>
        <v/>
      </c>
      <c r="E19" s="15">
        <f>E7</f>
        <v/>
      </c>
      <c r="F19" s="15">
        <f>F7</f>
        <v/>
      </c>
      <c r="G19" s="15">
        <f>G7</f>
        <v/>
      </c>
      <c r="H19" s="15">
        <f>H7</f>
        <v/>
      </c>
      <c r="I19" s="15">
        <f>I7</f>
        <v/>
      </c>
      <c r="J19" s="15">
        <f>J7</f>
        <v/>
      </c>
      <c r="K19" s="15">
        <f>K7</f>
        <v/>
      </c>
    </row>
    <row r="20">
      <c r="A20" s="5" t="inlineStr">
        <is>
          <t>삼성전자 — Gross profit margin</t>
        </is>
      </c>
      <c r="B20" s="15">
        <f>B11</f>
        <v/>
      </c>
      <c r="C20" s="15">
        <f>C11</f>
        <v/>
      </c>
      <c r="D20" s="15">
        <f>D11</f>
        <v/>
      </c>
      <c r="E20" s="15">
        <f>E11</f>
        <v/>
      </c>
      <c r="F20" s="15">
        <f>F11</f>
        <v/>
      </c>
      <c r="G20" s="15">
        <f>G11</f>
        <v/>
      </c>
      <c r="H20" s="15">
        <f>H11</f>
        <v/>
      </c>
      <c r="I20" s="15">
        <f>I11</f>
        <v/>
      </c>
      <c r="J20" s="15">
        <f>J11</f>
        <v/>
      </c>
      <c r="K20" s="15">
        <f>K11</f>
        <v/>
      </c>
    </row>
    <row r="21">
      <c r="A21" s="5" t="inlineStr">
        <is>
          <t>마이크론 — Gross profit margin</t>
        </is>
      </c>
      <c r="B21" s="15">
        <f>B15</f>
        <v/>
      </c>
      <c r="C21" s="15">
        <f>C15</f>
        <v/>
      </c>
      <c r="D21" s="15">
        <f>D15</f>
        <v/>
      </c>
      <c r="E21" s="15">
        <f>E15</f>
        <v/>
      </c>
      <c r="F21" s="15">
        <f>F15</f>
        <v/>
      </c>
      <c r="G21" s="15">
        <f>G15</f>
        <v/>
      </c>
      <c r="H21" s="15">
        <f>H15</f>
        <v/>
      </c>
      <c r="I21" s="15">
        <f>I15</f>
        <v/>
      </c>
      <c r="J21" s="15">
        <f>J15</f>
        <v/>
      </c>
      <c r="K21" s="15">
        <f>K15</f>
        <v/>
      </c>
    </row>
    <row r="23">
      <c r="A23" s="5" t="inlineStr">
        <is>
          <t>SK하이닉스 — 재고자산 (US$m)</t>
        </is>
      </c>
      <c r="B23" s="10">
        <f>B6</f>
        <v/>
      </c>
      <c r="C23" s="10">
        <f>C6</f>
        <v/>
      </c>
      <c r="D23" s="10">
        <f>D6</f>
        <v/>
      </c>
      <c r="E23" s="10">
        <f>E6</f>
        <v/>
      </c>
      <c r="F23" s="10">
        <f>F6</f>
        <v/>
      </c>
      <c r="G23" s="10">
        <f>G6</f>
        <v/>
      </c>
      <c r="H23" s="10">
        <f>H6</f>
        <v/>
      </c>
      <c r="I23" s="10">
        <f>I6</f>
        <v/>
      </c>
      <c r="J23" s="10">
        <f>J6</f>
        <v/>
      </c>
      <c r="K23" s="10">
        <f>K6</f>
        <v/>
      </c>
    </row>
    <row r="24">
      <c r="A24" s="5" t="inlineStr">
        <is>
          <t>삼성전자 — 재고자산 (US$m)</t>
        </is>
      </c>
      <c r="B24" s="10">
        <f>B10</f>
        <v/>
      </c>
      <c r="C24" s="10">
        <f>C10</f>
        <v/>
      </c>
      <c r="D24" s="10">
        <f>D10</f>
        <v/>
      </c>
      <c r="E24" s="10">
        <f>E10</f>
        <v/>
      </c>
      <c r="F24" s="10">
        <f>F10</f>
        <v/>
      </c>
      <c r="G24" s="10">
        <f>G10</f>
        <v/>
      </c>
      <c r="H24" s="10">
        <f>H10</f>
        <v/>
      </c>
      <c r="I24" s="10">
        <f>I10</f>
        <v/>
      </c>
      <c r="J24" s="10">
        <f>J10</f>
        <v/>
      </c>
      <c r="K24" s="10">
        <f>K10</f>
        <v/>
      </c>
    </row>
    <row r="25">
      <c r="A25" s="5" t="inlineStr">
        <is>
          <t>마이크론 — 재고자산 (US$m)</t>
        </is>
      </c>
      <c r="B25" s="10">
        <f>B14</f>
        <v/>
      </c>
      <c r="C25" s="10">
        <f>C14</f>
        <v/>
      </c>
      <c r="D25" s="10">
        <f>D14</f>
        <v/>
      </c>
      <c r="E25" s="10">
        <f>E14</f>
        <v/>
      </c>
      <c r="F25" s="10">
        <f>F14</f>
        <v/>
      </c>
      <c r="G25" s="10">
        <f>G14</f>
        <v/>
      </c>
      <c r="H25" s="10">
        <f>H14</f>
        <v/>
      </c>
      <c r="I25" s="10">
        <f>I14</f>
        <v/>
      </c>
      <c r="J25" s="10">
        <f>J14</f>
        <v/>
      </c>
      <c r="K25" s="10">
        <f>K14</f>
        <v/>
      </c>
    </row>
    <row r="27">
      <c r="A27" s="5" t="inlineStr">
        <is>
          <t>SK하이닉스 — PE ratio</t>
        </is>
      </c>
      <c r="B27" s="15">
        <f>B8</f>
        <v/>
      </c>
      <c r="C27" s="15">
        <f>C8</f>
        <v/>
      </c>
      <c r="D27" s="15">
        <f>D8</f>
        <v/>
      </c>
      <c r="E27" s="15">
        <f>E8</f>
        <v/>
      </c>
      <c r="F27" s="15">
        <f>F8</f>
        <v/>
      </c>
      <c r="G27" s="15">
        <f>G8</f>
        <v/>
      </c>
      <c r="H27" s="15">
        <f>H8</f>
        <v/>
      </c>
      <c r="I27" s="15">
        <f>I8</f>
        <v/>
      </c>
      <c r="J27" s="15">
        <f>J8</f>
        <v/>
      </c>
      <c r="K27" s="15">
        <f>K8</f>
        <v/>
      </c>
    </row>
    <row r="28">
      <c r="A28" s="5" t="inlineStr">
        <is>
          <t>삼성전자 — PE ratio</t>
        </is>
      </c>
      <c r="B28" s="15">
        <f>B12</f>
        <v/>
      </c>
      <c r="C28" s="15">
        <f>C12</f>
        <v/>
      </c>
      <c r="D28" s="15">
        <f>D12</f>
        <v/>
      </c>
      <c r="E28" s="15">
        <f>E12</f>
        <v/>
      </c>
      <c r="F28" s="15">
        <f>F12</f>
        <v/>
      </c>
      <c r="G28" s="15">
        <f>G12</f>
        <v/>
      </c>
      <c r="H28" s="15">
        <f>H12</f>
        <v/>
      </c>
      <c r="I28" s="15">
        <f>I12</f>
        <v/>
      </c>
      <c r="J28" s="15">
        <f>J12</f>
        <v/>
      </c>
      <c r="K28" s="15">
        <f>K12</f>
        <v/>
      </c>
    </row>
    <row r="29">
      <c r="A29" s="5" t="inlineStr">
        <is>
          <t>마이크론 — PE ratio</t>
        </is>
      </c>
      <c r="B29" s="15">
        <f>B16</f>
        <v/>
      </c>
      <c r="C29" s="15">
        <f>C16</f>
        <v/>
      </c>
      <c r="D29" s="15">
        <f>D16</f>
        <v/>
      </c>
      <c r="E29" s="15">
        <f>E16</f>
        <v/>
      </c>
      <c r="F29" s="15">
        <f>F16</f>
        <v/>
      </c>
      <c r="G29" s="15">
        <f>G16</f>
        <v/>
      </c>
      <c r="H29" s="15">
        <f>H16</f>
        <v/>
      </c>
      <c r="I29" s="15">
        <f>I16</f>
        <v/>
      </c>
      <c r="J29" s="15">
        <f>J16</f>
        <v/>
      </c>
      <c r="K29" s="15">
        <f>K16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J26" sqref="J26"/>
    </sheetView>
  </sheetViews>
  <sheetFormatPr baseColWidth="8" defaultRowHeight="14.5"/>
  <cols>
    <col width="34" customWidth="1" style="20" min="1" max="1"/>
    <col width="9.453125" customWidth="1" style="20" min="2" max="21"/>
  </cols>
  <sheetData>
    <row r="1" ht="18" customHeight="1" s="20">
      <c r="A1" s="1" t="inlineStr">
        <is>
          <t>메모리 3사 분기 그래프 (Quarterly Charts, 2016Q3~2026Q2)</t>
        </is>
      </c>
    </row>
    <row r="2">
      <c r="A2" s="2" t="inlineStr">
        <is>
          <t>아래 데이터는 데이터 탭과 연결되어 있습니다. 원자료를 채우면 그래프도 함께 채워집니다.</t>
        </is>
      </c>
    </row>
    <row r="4">
      <c r="A4" s="3" t="inlineStr">
        <is>
          <t>차트용 데이터 (Chart data)</t>
        </is>
      </c>
      <c r="B4" s="18" t="inlineStr">
        <is>
          <t>2021Q3</t>
        </is>
      </c>
      <c r="C4" s="18" t="inlineStr">
        <is>
          <t>2021Q4</t>
        </is>
      </c>
      <c r="D4" s="18" t="inlineStr">
        <is>
          <t>2022Q1</t>
        </is>
      </c>
      <c r="E4" s="18" t="inlineStr">
        <is>
          <t>2022Q2</t>
        </is>
      </c>
      <c r="F4" s="18" t="inlineStr">
        <is>
          <t>2022Q3</t>
        </is>
      </c>
      <c r="G4" s="18" t="inlineStr">
        <is>
          <t>2022Q4</t>
        </is>
      </c>
      <c r="H4" s="18" t="inlineStr">
        <is>
          <t>2023Q1</t>
        </is>
      </c>
      <c r="I4" s="18" t="inlineStr">
        <is>
          <t>2023Q2</t>
        </is>
      </c>
      <c r="J4" s="18" t="inlineStr">
        <is>
          <t>2023Q3</t>
        </is>
      </c>
      <c r="K4" s="18" t="inlineStr">
        <is>
          <t>2023Q4</t>
        </is>
      </c>
      <c r="L4" s="18" t="inlineStr">
        <is>
          <t>2024Q1</t>
        </is>
      </c>
      <c r="M4" s="18" t="inlineStr">
        <is>
          <t>2024Q2</t>
        </is>
      </c>
      <c r="N4" s="18" t="inlineStr">
        <is>
          <t>2024Q3</t>
        </is>
      </c>
      <c r="O4" s="18" t="inlineStr">
        <is>
          <t>2024Q4</t>
        </is>
      </c>
      <c r="P4" s="18" t="inlineStr">
        <is>
          <t>2025Q1</t>
        </is>
      </c>
      <c r="Q4" s="18" t="inlineStr">
        <is>
          <t>2025Q2</t>
        </is>
      </c>
      <c r="R4" s="18" t="inlineStr">
        <is>
          <t>2025Q3</t>
        </is>
      </c>
      <c r="S4" s="18" t="inlineStr">
        <is>
          <t>2025Q4</t>
        </is>
      </c>
      <c r="T4" s="18" t="inlineStr">
        <is>
          <t>2026Q1</t>
        </is>
      </c>
      <c r="U4" s="18" t="inlineStr">
        <is>
          <t>2026Q2</t>
        </is>
      </c>
    </row>
    <row r="5">
      <c r="A5" s="5" t="inlineStr">
        <is>
          <t>SK하이닉스 — 영업이익 (US$m)</t>
        </is>
      </c>
      <c r="B5" s="10">
        <f>SK하이닉스_분기!B27</f>
        <v/>
      </c>
      <c r="C5" s="10">
        <f>SK하이닉스_분기!C27</f>
        <v/>
      </c>
      <c r="D5" s="10">
        <f>SK하이닉스_분기!D27</f>
        <v/>
      </c>
      <c r="E5" s="10">
        <f>SK하이닉스_분기!E27</f>
        <v/>
      </c>
      <c r="F5" s="10">
        <f>SK하이닉스_분기!F27</f>
        <v/>
      </c>
      <c r="G5" s="10">
        <f>SK하이닉스_분기!G27</f>
        <v/>
      </c>
      <c r="H5" s="10">
        <f>SK하이닉스_분기!H27</f>
        <v/>
      </c>
      <c r="I5" s="10">
        <f>SK하이닉스_분기!I27</f>
        <v/>
      </c>
      <c r="J5" s="10">
        <f>SK하이닉스_분기!J27</f>
        <v/>
      </c>
      <c r="K5" s="10">
        <f>SK하이닉스_분기!K27</f>
        <v/>
      </c>
      <c r="L5" s="10">
        <f>SK하이닉스_분기!L27</f>
        <v/>
      </c>
      <c r="M5" s="10">
        <f>SK하이닉스_분기!M27</f>
        <v/>
      </c>
      <c r="N5" s="10">
        <f>SK하이닉스_분기!N27</f>
        <v/>
      </c>
      <c r="O5" s="10">
        <f>SK하이닉스_분기!O27</f>
        <v/>
      </c>
      <c r="P5" s="10">
        <f>SK하이닉스_분기!P27</f>
        <v/>
      </c>
      <c r="Q5" s="10">
        <f>SK하이닉스_분기!Q27</f>
        <v/>
      </c>
      <c r="R5" s="10">
        <f>SK하이닉스_분기!R27</f>
        <v/>
      </c>
      <c r="S5" s="10">
        <f>SK하이닉스_분기!S27</f>
        <v/>
      </c>
      <c r="T5" s="10">
        <f>SK하이닉스_분기!T27</f>
        <v/>
      </c>
      <c r="U5" s="10">
        <f>SK하이닉스_분기!U27</f>
        <v/>
      </c>
    </row>
    <row r="6">
      <c r="A6" s="5" t="inlineStr">
        <is>
          <t>SK하이닉스 — 재고자산 (US$m)</t>
        </is>
      </c>
      <c r="B6" s="10">
        <f>SK하이닉스_분기!B26</f>
        <v/>
      </c>
      <c r="C6" s="10">
        <f>SK하이닉스_분기!C26</f>
        <v/>
      </c>
      <c r="D6" s="10">
        <f>SK하이닉스_분기!D26</f>
        <v/>
      </c>
      <c r="E6" s="10">
        <f>SK하이닉스_분기!E26</f>
        <v/>
      </c>
      <c r="F6" s="10">
        <f>SK하이닉스_분기!F26</f>
        <v/>
      </c>
      <c r="G6" s="10">
        <f>SK하이닉스_분기!G26</f>
        <v/>
      </c>
      <c r="H6" s="10">
        <f>SK하이닉스_분기!H26</f>
        <v/>
      </c>
      <c r="I6" s="10">
        <f>SK하이닉스_분기!I26</f>
        <v/>
      </c>
      <c r="J6" s="10">
        <f>SK하이닉스_분기!J26</f>
        <v/>
      </c>
      <c r="K6" s="10">
        <f>SK하이닉스_분기!K26</f>
        <v/>
      </c>
      <c r="L6" s="10">
        <f>SK하이닉스_분기!L26</f>
        <v/>
      </c>
      <c r="M6" s="10">
        <f>SK하이닉스_분기!M26</f>
        <v/>
      </c>
      <c r="N6" s="10">
        <f>SK하이닉스_분기!N26</f>
        <v/>
      </c>
      <c r="O6" s="10">
        <f>SK하이닉스_분기!O26</f>
        <v/>
      </c>
      <c r="P6" s="10">
        <f>SK하이닉스_분기!P26</f>
        <v/>
      </c>
      <c r="Q6" s="10">
        <f>SK하이닉스_분기!Q26</f>
        <v/>
      </c>
      <c r="R6" s="10">
        <f>SK하이닉스_분기!R26</f>
        <v/>
      </c>
      <c r="S6" s="10">
        <f>SK하이닉스_분기!S26</f>
        <v/>
      </c>
      <c r="T6" s="10">
        <f>SK하이닉스_분기!T26</f>
        <v/>
      </c>
      <c r="U6" s="10">
        <f>SK하이닉스_분기!U26</f>
        <v/>
      </c>
    </row>
    <row r="7">
      <c r="A7" s="5" t="inlineStr">
        <is>
          <t>SK하이닉스 — Gross profit margin</t>
        </is>
      </c>
      <c r="B7" s="15">
        <f>SK하이닉스_분기!B19</f>
        <v/>
      </c>
      <c r="C7" s="15">
        <f>SK하이닉스_분기!C19</f>
        <v/>
      </c>
      <c r="D7" s="15">
        <f>SK하이닉스_분기!D19</f>
        <v/>
      </c>
      <c r="E7" s="15">
        <f>SK하이닉스_분기!E19</f>
        <v/>
      </c>
      <c r="F7" s="15">
        <f>SK하이닉스_분기!F19</f>
        <v/>
      </c>
      <c r="G7" s="15">
        <f>SK하이닉스_분기!G19</f>
        <v/>
      </c>
      <c r="H7" s="15">
        <f>SK하이닉스_분기!H19</f>
        <v/>
      </c>
      <c r="I7" s="15">
        <f>SK하이닉스_분기!I19</f>
        <v/>
      </c>
      <c r="J7" s="15">
        <f>SK하이닉스_분기!J19</f>
        <v/>
      </c>
      <c r="K7" s="15">
        <f>SK하이닉스_분기!K19</f>
        <v/>
      </c>
      <c r="L7" s="15">
        <f>SK하이닉스_분기!L19</f>
        <v/>
      </c>
      <c r="M7" s="15">
        <f>SK하이닉스_분기!M19</f>
        <v/>
      </c>
      <c r="N7" s="15">
        <f>SK하이닉스_분기!N19</f>
        <v/>
      </c>
      <c r="O7" s="15">
        <f>SK하이닉스_분기!O19</f>
        <v/>
      </c>
      <c r="P7" s="15">
        <f>SK하이닉스_분기!P19</f>
        <v/>
      </c>
      <c r="Q7" s="15">
        <f>SK하이닉스_분기!Q19</f>
        <v/>
      </c>
      <c r="R7" s="15">
        <f>SK하이닉스_분기!R19</f>
        <v/>
      </c>
      <c r="S7" s="15">
        <f>SK하이닉스_분기!S19</f>
        <v/>
      </c>
      <c r="T7" s="15">
        <f>SK하이닉스_분기!T19</f>
        <v/>
      </c>
      <c r="U7" s="15">
        <f>SK하이닉스_분기!U19</f>
        <v/>
      </c>
    </row>
    <row r="8">
      <c r="A8" s="5" t="inlineStr">
        <is>
          <t>SK하이닉스 — PE ratio</t>
        </is>
      </c>
      <c r="B8" s="15">
        <f>SK하이닉스_분기!B11</f>
        <v/>
      </c>
      <c r="C8" s="15">
        <f>SK하이닉스_분기!C11</f>
        <v/>
      </c>
      <c r="D8" s="15">
        <f>SK하이닉스_분기!D11</f>
        <v/>
      </c>
      <c r="E8" s="15">
        <f>SK하이닉스_분기!E11</f>
        <v/>
      </c>
      <c r="F8" s="15">
        <f>SK하이닉스_분기!F11</f>
        <v/>
      </c>
      <c r="G8" s="15">
        <f>SK하이닉스_분기!G11</f>
        <v/>
      </c>
      <c r="H8" s="15">
        <f>SK하이닉스_분기!H11</f>
        <v/>
      </c>
      <c r="I8" s="15">
        <f>SK하이닉스_분기!I11</f>
        <v/>
      </c>
      <c r="J8" s="15">
        <f>SK하이닉스_분기!J11</f>
        <v/>
      </c>
      <c r="K8" s="15">
        <f>SK하이닉스_분기!K11</f>
        <v/>
      </c>
      <c r="L8" s="15">
        <f>SK하이닉스_분기!L11</f>
        <v/>
      </c>
      <c r="M8" s="15">
        <f>SK하이닉스_분기!M11</f>
        <v/>
      </c>
      <c r="N8" s="15">
        <f>SK하이닉스_분기!N11</f>
        <v/>
      </c>
      <c r="O8" s="15">
        <f>SK하이닉스_분기!O11</f>
        <v/>
      </c>
      <c r="P8" s="15">
        <f>SK하이닉스_분기!P11</f>
        <v/>
      </c>
      <c r="Q8" s="15">
        <f>SK하이닉스_분기!Q11</f>
        <v/>
      </c>
      <c r="R8" s="15">
        <f>SK하이닉스_분기!R11</f>
        <v/>
      </c>
      <c r="S8" s="15">
        <f>SK하이닉스_분기!S11</f>
        <v/>
      </c>
      <c r="T8" s="15">
        <f>SK하이닉스_분기!T11</f>
        <v/>
      </c>
      <c r="U8" s="15">
        <f>SK하이닉스_분기!U11</f>
        <v/>
      </c>
    </row>
    <row r="9">
      <c r="A9" s="5" t="inlineStr">
        <is>
          <t>삼성전자 — 영업이익 (US$m)</t>
        </is>
      </c>
      <c r="B9" s="10">
        <f>삼성전자_분기!B27</f>
        <v/>
      </c>
      <c r="C9" s="10">
        <f>삼성전자_분기!C27</f>
        <v/>
      </c>
      <c r="D9" s="10">
        <f>삼성전자_분기!D27</f>
        <v/>
      </c>
      <c r="E9" s="10">
        <f>삼성전자_분기!E27</f>
        <v/>
      </c>
      <c r="F9" s="10">
        <f>삼성전자_분기!F27</f>
        <v/>
      </c>
      <c r="G9" s="10">
        <f>삼성전자_분기!G27</f>
        <v/>
      </c>
      <c r="H9" s="10">
        <f>삼성전자_분기!H27</f>
        <v/>
      </c>
      <c r="I9" s="10">
        <f>삼성전자_분기!I27</f>
        <v/>
      </c>
      <c r="J9" s="10">
        <f>삼성전자_분기!J27</f>
        <v/>
      </c>
      <c r="K9" s="10">
        <f>삼성전자_분기!K27</f>
        <v/>
      </c>
      <c r="L9" s="10">
        <f>삼성전자_분기!L27</f>
        <v/>
      </c>
      <c r="M9" s="10">
        <f>삼성전자_분기!M27</f>
        <v/>
      </c>
      <c r="N9" s="10">
        <f>삼성전자_분기!N27</f>
        <v/>
      </c>
      <c r="O9" s="10">
        <f>삼성전자_분기!O27</f>
        <v/>
      </c>
      <c r="P9" s="10">
        <f>삼성전자_분기!P27</f>
        <v/>
      </c>
      <c r="Q9" s="10">
        <f>삼성전자_분기!Q27</f>
        <v/>
      </c>
      <c r="R9" s="10">
        <f>삼성전자_분기!R27</f>
        <v/>
      </c>
      <c r="S9" s="10">
        <f>삼성전자_분기!S27</f>
        <v/>
      </c>
      <c r="T9" s="10">
        <f>삼성전자_분기!T27</f>
        <v/>
      </c>
      <c r="U9" s="10">
        <f>삼성전자_분기!U27</f>
        <v/>
      </c>
    </row>
    <row r="10">
      <c r="A10" s="5" t="inlineStr">
        <is>
          <t>삼성전자 — 재고자산 (US$m)</t>
        </is>
      </c>
      <c r="B10" s="10">
        <f>삼성전자_분기!B26</f>
        <v/>
      </c>
      <c r="C10" s="10">
        <f>삼성전자_분기!C26</f>
        <v/>
      </c>
      <c r="D10" s="10">
        <f>삼성전자_분기!D26</f>
        <v/>
      </c>
      <c r="E10" s="10">
        <f>삼성전자_분기!E26</f>
        <v/>
      </c>
      <c r="F10" s="10">
        <f>삼성전자_분기!F26</f>
        <v/>
      </c>
      <c r="G10" s="10">
        <f>삼성전자_분기!G26</f>
        <v/>
      </c>
      <c r="H10" s="10">
        <f>삼성전자_분기!H26</f>
        <v/>
      </c>
      <c r="I10" s="10">
        <f>삼성전자_분기!I26</f>
        <v/>
      </c>
      <c r="J10" s="10">
        <f>삼성전자_분기!J26</f>
        <v/>
      </c>
      <c r="K10" s="10">
        <f>삼성전자_분기!K26</f>
        <v/>
      </c>
      <c r="L10" s="10">
        <f>삼성전자_분기!L26</f>
        <v/>
      </c>
      <c r="M10" s="10">
        <f>삼성전자_분기!M26</f>
        <v/>
      </c>
      <c r="N10" s="10">
        <f>삼성전자_분기!N26</f>
        <v/>
      </c>
      <c r="O10" s="10">
        <f>삼성전자_분기!O26</f>
        <v/>
      </c>
      <c r="P10" s="10">
        <f>삼성전자_분기!P26</f>
        <v/>
      </c>
      <c r="Q10" s="10">
        <f>삼성전자_분기!Q26</f>
        <v/>
      </c>
      <c r="R10" s="10">
        <f>삼성전자_분기!R26</f>
        <v/>
      </c>
      <c r="S10" s="10">
        <f>삼성전자_분기!S26</f>
        <v/>
      </c>
      <c r="T10" s="10">
        <f>삼성전자_분기!T26</f>
        <v/>
      </c>
      <c r="U10" s="10">
        <f>삼성전자_분기!U26</f>
        <v/>
      </c>
    </row>
    <row r="11">
      <c r="A11" s="5" t="inlineStr">
        <is>
          <t>삼성전자 — Gross profit margin</t>
        </is>
      </c>
      <c r="B11" s="15">
        <f>삼성전자_분기!B19</f>
        <v/>
      </c>
      <c r="C11" s="15">
        <f>삼성전자_분기!C19</f>
        <v/>
      </c>
      <c r="D11" s="15">
        <f>삼성전자_분기!D19</f>
        <v/>
      </c>
      <c r="E11" s="15">
        <f>삼성전자_분기!E19</f>
        <v/>
      </c>
      <c r="F11" s="15">
        <f>삼성전자_분기!F19</f>
        <v/>
      </c>
      <c r="G11" s="15">
        <f>삼성전자_분기!G19</f>
        <v/>
      </c>
      <c r="H11" s="15">
        <f>삼성전자_분기!H19</f>
        <v/>
      </c>
      <c r="I11" s="15">
        <f>삼성전자_분기!I19</f>
        <v/>
      </c>
      <c r="J11" s="15">
        <f>삼성전자_분기!J19</f>
        <v/>
      </c>
      <c r="K11" s="15">
        <f>삼성전자_분기!K19</f>
        <v/>
      </c>
      <c r="L11" s="15">
        <f>삼성전자_분기!L19</f>
        <v/>
      </c>
      <c r="M11" s="15">
        <f>삼성전자_분기!M19</f>
        <v/>
      </c>
      <c r="N11" s="15">
        <f>삼성전자_분기!N19</f>
        <v/>
      </c>
      <c r="O11" s="15">
        <f>삼성전자_분기!O19</f>
        <v/>
      </c>
      <c r="P11" s="15">
        <f>삼성전자_분기!P19</f>
        <v/>
      </c>
      <c r="Q11" s="15">
        <f>삼성전자_분기!Q19</f>
        <v/>
      </c>
      <c r="R11" s="15">
        <f>삼성전자_분기!R19</f>
        <v/>
      </c>
      <c r="S11" s="15">
        <f>삼성전자_분기!S19</f>
        <v/>
      </c>
      <c r="T11" s="15">
        <f>삼성전자_분기!T19</f>
        <v/>
      </c>
      <c r="U11" s="15">
        <f>삼성전자_분기!U19</f>
        <v/>
      </c>
    </row>
    <row r="12">
      <c r="A12" s="5" t="inlineStr">
        <is>
          <t>삼성전자 — PE ratio</t>
        </is>
      </c>
      <c r="B12" s="15">
        <f>삼성전자_분기!B11</f>
        <v/>
      </c>
      <c r="C12" s="15">
        <f>삼성전자_분기!C11</f>
        <v/>
      </c>
      <c r="D12" s="15">
        <f>삼성전자_분기!D11</f>
        <v/>
      </c>
      <c r="E12" s="15">
        <f>삼성전자_분기!E11</f>
        <v/>
      </c>
      <c r="F12" s="15">
        <f>삼성전자_분기!F11</f>
        <v/>
      </c>
      <c r="G12" s="15">
        <f>삼성전자_분기!G11</f>
        <v/>
      </c>
      <c r="H12" s="15">
        <f>삼성전자_분기!H11</f>
        <v/>
      </c>
      <c r="I12" s="15">
        <f>삼성전자_분기!I11</f>
        <v/>
      </c>
      <c r="J12" s="15">
        <f>삼성전자_분기!J11</f>
        <v/>
      </c>
      <c r="K12" s="15">
        <f>삼성전자_분기!K11</f>
        <v/>
      </c>
      <c r="L12" s="15">
        <f>삼성전자_분기!L11</f>
        <v/>
      </c>
      <c r="M12" s="15">
        <f>삼성전자_분기!M11</f>
        <v/>
      </c>
      <c r="N12" s="15">
        <f>삼성전자_분기!N11</f>
        <v/>
      </c>
      <c r="O12" s="15">
        <f>삼성전자_분기!O11</f>
        <v/>
      </c>
      <c r="P12" s="15">
        <f>삼성전자_분기!P11</f>
        <v/>
      </c>
      <c r="Q12" s="15">
        <f>삼성전자_분기!Q11</f>
        <v/>
      </c>
      <c r="R12" s="15">
        <f>삼성전자_분기!R11</f>
        <v/>
      </c>
      <c r="S12" s="15">
        <f>삼성전자_분기!S11</f>
        <v/>
      </c>
      <c r="T12" s="15">
        <f>삼성전자_분기!T11</f>
        <v/>
      </c>
      <c r="U12" s="15">
        <f>삼성전자_분기!U11</f>
        <v/>
      </c>
    </row>
    <row r="13">
      <c r="A13" s="5" t="inlineStr">
        <is>
          <t>마이크론 — 영업이익 (US$m)</t>
        </is>
      </c>
      <c r="B13" s="10">
        <f>마이크론_분기!V27</f>
        <v/>
      </c>
      <c r="C13" s="10">
        <f>마이크론_분기!W27</f>
        <v/>
      </c>
      <c r="D13" s="10">
        <f>마이크론_분기!X27</f>
        <v/>
      </c>
      <c r="E13" s="10">
        <f>마이크론_분기!Y27</f>
        <v/>
      </c>
      <c r="F13" s="10">
        <f>마이크론_분기!Z27</f>
        <v/>
      </c>
      <c r="G13" s="10">
        <f>마이크론_분기!AA27</f>
        <v/>
      </c>
      <c r="H13" s="10">
        <f>마이크론_분기!AB27</f>
        <v/>
      </c>
      <c r="I13" s="10">
        <f>마이크론_분기!AC27</f>
        <v/>
      </c>
      <c r="J13" s="10">
        <f>마이크론_분기!AD27</f>
        <v/>
      </c>
      <c r="K13" s="10">
        <f>마이크론_분기!AE27</f>
        <v/>
      </c>
      <c r="L13" s="10">
        <f>마이크론_분기!AF27</f>
        <v/>
      </c>
      <c r="M13" s="10">
        <f>마이크론_분기!AG27</f>
        <v/>
      </c>
      <c r="N13" s="10">
        <f>마이크론_분기!AH27</f>
        <v/>
      </c>
      <c r="O13" s="10">
        <f>마이크론_분기!AI27</f>
        <v/>
      </c>
      <c r="P13" s="10">
        <f>마이크론_분기!AJ27</f>
        <v/>
      </c>
      <c r="Q13" s="10">
        <f>마이크론_분기!AK27</f>
        <v/>
      </c>
      <c r="R13" s="10">
        <f>마이크론_분기!AL27</f>
        <v/>
      </c>
      <c r="S13" s="10">
        <f>마이크론_분기!AM27</f>
        <v/>
      </c>
      <c r="T13" s="10">
        <f>마이크론_분기!AN27</f>
        <v/>
      </c>
      <c r="U13" s="10">
        <f>마이크론_분기!AO27</f>
        <v/>
      </c>
    </row>
    <row r="14">
      <c r="A14" s="5" t="inlineStr">
        <is>
          <t>마이크론 — 재고자산 (US$m)</t>
        </is>
      </c>
      <c r="B14" s="10">
        <f>마이크론_분기!V26</f>
        <v/>
      </c>
      <c r="C14" s="10">
        <f>마이크론_분기!W26</f>
        <v/>
      </c>
      <c r="D14" s="10">
        <f>마이크론_분기!X26</f>
        <v/>
      </c>
      <c r="E14" s="10">
        <f>마이크론_분기!Y26</f>
        <v/>
      </c>
      <c r="F14" s="10">
        <f>마이크론_분기!Z26</f>
        <v/>
      </c>
      <c r="G14" s="10">
        <f>마이크론_분기!AA26</f>
        <v/>
      </c>
      <c r="H14" s="10">
        <f>마이크론_분기!AB26</f>
        <v/>
      </c>
      <c r="I14" s="10">
        <f>마이크론_분기!AC26</f>
        <v/>
      </c>
      <c r="J14" s="10">
        <f>마이크론_분기!AD26</f>
        <v/>
      </c>
      <c r="K14" s="10">
        <f>마이크론_분기!AE26</f>
        <v/>
      </c>
      <c r="L14" s="10">
        <f>마이크론_분기!AF26</f>
        <v/>
      </c>
      <c r="M14" s="10">
        <f>마이크론_분기!AG26</f>
        <v/>
      </c>
      <c r="N14" s="10">
        <f>마이크론_분기!AH26</f>
        <v/>
      </c>
      <c r="O14" s="10">
        <f>마이크론_분기!AI26</f>
        <v/>
      </c>
      <c r="P14" s="10">
        <f>마이크론_분기!AJ26</f>
        <v/>
      </c>
      <c r="Q14" s="10">
        <f>마이크론_분기!AK26</f>
        <v/>
      </c>
      <c r="R14" s="10">
        <f>마이크론_분기!AL26</f>
        <v/>
      </c>
      <c r="S14" s="10">
        <f>마이크론_분기!AM26</f>
        <v/>
      </c>
      <c r="T14" s="10">
        <f>마이크론_분기!AN26</f>
        <v/>
      </c>
      <c r="U14" s="10">
        <f>마이크론_분기!AO26</f>
        <v/>
      </c>
    </row>
    <row r="15">
      <c r="A15" s="5" t="inlineStr">
        <is>
          <t>마이크론 — Gross profit margin</t>
        </is>
      </c>
      <c r="B15" s="15">
        <f>마이크론_분기!V19</f>
        <v/>
      </c>
      <c r="C15" s="15">
        <f>마이크론_분기!W19</f>
        <v/>
      </c>
      <c r="D15" s="15">
        <f>마이크론_분기!X19</f>
        <v/>
      </c>
      <c r="E15" s="15">
        <f>마이크론_분기!Y19</f>
        <v/>
      </c>
      <c r="F15" s="15">
        <f>마이크론_분기!Z19</f>
        <v/>
      </c>
      <c r="G15" s="15">
        <f>마이크론_분기!AA19</f>
        <v/>
      </c>
      <c r="H15" s="15">
        <f>마이크론_분기!AB19</f>
        <v/>
      </c>
      <c r="I15" s="15">
        <f>마이크론_분기!AC19</f>
        <v/>
      </c>
      <c r="J15" s="15">
        <f>마이크론_분기!AD19</f>
        <v/>
      </c>
      <c r="K15" s="15">
        <f>마이크론_분기!AE19</f>
        <v/>
      </c>
      <c r="L15" s="15">
        <f>마이크론_분기!AF19</f>
        <v/>
      </c>
      <c r="M15" s="15">
        <f>마이크론_분기!AG19</f>
        <v/>
      </c>
      <c r="N15" s="15">
        <f>마이크론_분기!AH19</f>
        <v/>
      </c>
      <c r="O15" s="15">
        <f>마이크론_분기!AI19</f>
        <v/>
      </c>
      <c r="P15" s="15">
        <f>마이크론_분기!AJ19</f>
        <v/>
      </c>
      <c r="Q15" s="15">
        <f>마이크론_분기!AK19</f>
        <v/>
      </c>
      <c r="R15" s="15">
        <f>마이크론_분기!AL19</f>
        <v/>
      </c>
      <c r="S15" s="15">
        <f>마이크론_분기!AM19</f>
        <v/>
      </c>
      <c r="T15" s="15">
        <f>마이크론_분기!AN19</f>
        <v/>
      </c>
      <c r="U15" s="15">
        <f>마이크론_분기!AO19</f>
        <v/>
      </c>
    </row>
    <row r="16">
      <c r="A16" s="5" t="inlineStr">
        <is>
          <t>마이크론 — PE ratio</t>
        </is>
      </c>
      <c r="B16" s="15">
        <f>마이크론_분기!V11</f>
        <v/>
      </c>
      <c r="C16" s="15">
        <f>마이크론_분기!W11</f>
        <v/>
      </c>
      <c r="D16" s="15">
        <f>마이크론_분기!X11</f>
        <v/>
      </c>
      <c r="E16" s="15">
        <f>마이크론_분기!Y11</f>
        <v/>
      </c>
      <c r="F16" s="15">
        <f>마이크론_분기!Z11</f>
        <v/>
      </c>
      <c r="G16" s="15">
        <f>마이크론_분기!AA11</f>
        <v/>
      </c>
      <c r="H16" s="15">
        <f>마이크론_분기!AB11</f>
        <v/>
      </c>
      <c r="I16" s="15">
        <f>마이크론_분기!AC11</f>
        <v/>
      </c>
      <c r="J16" s="15">
        <f>마이크론_분기!AD11</f>
        <v/>
      </c>
      <c r="K16" s="15">
        <f>마이크론_분기!AE11</f>
        <v/>
      </c>
      <c r="L16" s="15">
        <f>마이크론_분기!AF11</f>
        <v/>
      </c>
      <c r="M16" s="15">
        <f>마이크론_분기!AG11</f>
        <v/>
      </c>
      <c r="N16" s="15">
        <f>마이크론_분기!AH11</f>
        <v/>
      </c>
      <c r="O16" s="15">
        <f>마이크론_분기!AI11</f>
        <v/>
      </c>
      <c r="P16" s="15">
        <f>마이크론_분기!AJ11</f>
        <v/>
      </c>
      <c r="Q16" s="15">
        <f>마이크론_분기!AK11</f>
        <v/>
      </c>
      <c r="R16" s="15">
        <f>마이크론_분기!AL11</f>
        <v/>
      </c>
      <c r="S16" s="15">
        <f>마이크론_분기!AM11</f>
        <v/>
      </c>
      <c r="T16" s="15">
        <f>마이크론_분기!AN11</f>
        <v/>
      </c>
      <c r="U16" s="15">
        <f>마이크론_분기!AO11</f>
        <v/>
      </c>
    </row>
    <row r="18">
      <c r="A18" s="3" t="inlineStr">
        <is>
          <t>3사 비교 블록 (All three companies)</t>
        </is>
      </c>
      <c r="B18" s="18" t="inlineStr">
        <is>
          <t>2021Q3</t>
        </is>
      </c>
      <c r="C18" s="18" t="inlineStr">
        <is>
          <t>2021Q4</t>
        </is>
      </c>
      <c r="D18" s="18" t="inlineStr">
        <is>
          <t>2022Q1</t>
        </is>
      </c>
      <c r="E18" s="18" t="inlineStr">
        <is>
          <t>2022Q2</t>
        </is>
      </c>
      <c r="F18" s="18" t="inlineStr">
        <is>
          <t>2022Q3</t>
        </is>
      </c>
      <c r="G18" s="18" t="inlineStr">
        <is>
          <t>2022Q4</t>
        </is>
      </c>
      <c r="H18" s="18" t="inlineStr">
        <is>
          <t>2023Q1</t>
        </is>
      </c>
      <c r="I18" s="18" t="inlineStr">
        <is>
          <t>2023Q2</t>
        </is>
      </c>
      <c r="J18" s="18" t="inlineStr">
        <is>
          <t>2023Q3</t>
        </is>
      </c>
      <c r="K18" s="18" t="inlineStr">
        <is>
          <t>2023Q4</t>
        </is>
      </c>
      <c r="L18" s="18" t="inlineStr">
        <is>
          <t>2024Q1</t>
        </is>
      </c>
      <c r="M18" s="18" t="inlineStr">
        <is>
          <t>2024Q2</t>
        </is>
      </c>
      <c r="N18" s="18" t="inlineStr">
        <is>
          <t>2024Q3</t>
        </is>
      </c>
      <c r="O18" s="18" t="inlineStr">
        <is>
          <t>2024Q4</t>
        </is>
      </c>
      <c r="P18" s="18" t="inlineStr">
        <is>
          <t>2025Q1</t>
        </is>
      </c>
      <c r="Q18" s="18" t="inlineStr">
        <is>
          <t>2025Q2</t>
        </is>
      </c>
      <c r="R18" s="18" t="inlineStr">
        <is>
          <t>2025Q3</t>
        </is>
      </c>
      <c r="S18" s="18" t="inlineStr">
        <is>
          <t>2025Q4</t>
        </is>
      </c>
      <c r="T18" s="18" t="inlineStr">
        <is>
          <t>2026Q1</t>
        </is>
      </c>
      <c r="U18" s="18" t="inlineStr">
        <is>
          <t>2026Q2</t>
        </is>
      </c>
    </row>
    <row r="19">
      <c r="A19" s="5" t="inlineStr">
        <is>
          <t>SK하이닉스 — Gross profit margin</t>
        </is>
      </c>
      <c r="B19" s="15">
        <f>B7</f>
        <v/>
      </c>
      <c r="C19" s="15">
        <f>C7</f>
        <v/>
      </c>
      <c r="D19" s="15">
        <f>D7</f>
        <v/>
      </c>
      <c r="E19" s="15">
        <f>E7</f>
        <v/>
      </c>
      <c r="F19" s="15">
        <f>F7</f>
        <v/>
      </c>
      <c r="G19" s="15">
        <f>G7</f>
        <v/>
      </c>
      <c r="H19" s="15">
        <f>H7</f>
        <v/>
      </c>
      <c r="I19" s="15">
        <f>I7</f>
        <v/>
      </c>
      <c r="J19" s="15">
        <f>J7</f>
        <v/>
      </c>
      <c r="K19" s="15">
        <f>K7</f>
        <v/>
      </c>
      <c r="L19" s="15">
        <f>L7</f>
        <v/>
      </c>
      <c r="M19" s="15">
        <f>M7</f>
        <v/>
      </c>
      <c r="N19" s="15">
        <f>N7</f>
        <v/>
      </c>
      <c r="O19" s="15">
        <f>O7</f>
        <v/>
      </c>
      <c r="P19" s="15">
        <f>P7</f>
        <v/>
      </c>
      <c r="Q19" s="15">
        <f>Q7</f>
        <v/>
      </c>
      <c r="R19" s="15">
        <f>R7</f>
        <v/>
      </c>
      <c r="S19" s="15">
        <f>S7</f>
        <v/>
      </c>
      <c r="T19" s="15">
        <f>T7</f>
        <v/>
      </c>
      <c r="U19" s="15">
        <f>U7</f>
        <v/>
      </c>
    </row>
    <row r="20">
      <c r="A20" s="5" t="inlineStr">
        <is>
          <t>삼성전자 — Gross profit margin</t>
        </is>
      </c>
      <c r="B20" s="15">
        <f>B11</f>
        <v/>
      </c>
      <c r="C20" s="15">
        <f>C11</f>
        <v/>
      </c>
      <c r="D20" s="15">
        <f>D11</f>
        <v/>
      </c>
      <c r="E20" s="15">
        <f>E11</f>
        <v/>
      </c>
      <c r="F20" s="15">
        <f>F11</f>
        <v/>
      </c>
      <c r="G20" s="15">
        <f>G11</f>
        <v/>
      </c>
      <c r="H20" s="15">
        <f>H11</f>
        <v/>
      </c>
      <c r="I20" s="15">
        <f>I11</f>
        <v/>
      </c>
      <c r="J20" s="15">
        <f>J11</f>
        <v/>
      </c>
      <c r="K20" s="15">
        <f>K11</f>
        <v/>
      </c>
      <c r="L20" s="15">
        <f>L11</f>
        <v/>
      </c>
      <c r="M20" s="15">
        <f>M11</f>
        <v/>
      </c>
      <c r="N20" s="15">
        <f>N11</f>
        <v/>
      </c>
      <c r="O20" s="15">
        <f>O11</f>
        <v/>
      </c>
      <c r="P20" s="15">
        <f>P11</f>
        <v/>
      </c>
      <c r="Q20" s="15">
        <f>Q11</f>
        <v/>
      </c>
      <c r="R20" s="15">
        <f>R11</f>
        <v/>
      </c>
      <c r="S20" s="15">
        <f>S11</f>
        <v/>
      </c>
      <c r="T20" s="15">
        <f>T11</f>
        <v/>
      </c>
      <c r="U20" s="15">
        <f>U11</f>
        <v/>
      </c>
    </row>
    <row r="21">
      <c r="A21" s="5" t="inlineStr">
        <is>
          <t>마이크론 — Gross profit margin</t>
        </is>
      </c>
      <c r="B21" s="15">
        <f>B15</f>
        <v/>
      </c>
      <c r="C21" s="15">
        <f>C15</f>
        <v/>
      </c>
      <c r="D21" s="15">
        <f>D15</f>
        <v/>
      </c>
      <c r="E21" s="15">
        <f>E15</f>
        <v/>
      </c>
      <c r="F21" s="15">
        <f>F15</f>
        <v/>
      </c>
      <c r="G21" s="15">
        <f>G15</f>
        <v/>
      </c>
      <c r="H21" s="15">
        <f>H15</f>
        <v/>
      </c>
      <c r="I21" s="15">
        <f>I15</f>
        <v/>
      </c>
      <c r="J21" s="15">
        <f>J15</f>
        <v/>
      </c>
      <c r="K21" s="15">
        <f>K15</f>
        <v/>
      </c>
      <c r="L21" s="15">
        <f>L15</f>
        <v/>
      </c>
      <c r="M21" s="15">
        <f>M15</f>
        <v/>
      </c>
      <c r="N21" s="15">
        <f>N15</f>
        <v/>
      </c>
      <c r="O21" s="15">
        <f>O15</f>
        <v/>
      </c>
      <c r="P21" s="15">
        <f>P15</f>
        <v/>
      </c>
      <c r="Q21" s="15">
        <f>Q15</f>
        <v/>
      </c>
      <c r="R21" s="15">
        <f>R15</f>
        <v/>
      </c>
      <c r="S21" s="15">
        <f>S15</f>
        <v/>
      </c>
      <c r="T21" s="15">
        <f>T15</f>
        <v/>
      </c>
      <c r="U21" s="15">
        <f>U15</f>
        <v/>
      </c>
    </row>
    <row r="23">
      <c r="A23" s="5" t="inlineStr">
        <is>
          <t>SK하이닉스 — 재고자산 (US$m)</t>
        </is>
      </c>
      <c r="B23" s="10">
        <f>B6</f>
        <v/>
      </c>
      <c r="C23" s="10">
        <f>C6</f>
        <v/>
      </c>
      <c r="D23" s="10">
        <f>D6</f>
        <v/>
      </c>
      <c r="E23" s="10">
        <f>E6</f>
        <v/>
      </c>
      <c r="F23" s="10">
        <f>F6</f>
        <v/>
      </c>
      <c r="G23" s="10">
        <f>G6</f>
        <v/>
      </c>
      <c r="H23" s="10">
        <f>H6</f>
        <v/>
      </c>
      <c r="I23" s="10">
        <f>I6</f>
        <v/>
      </c>
      <c r="J23" s="10">
        <f>J6</f>
        <v/>
      </c>
      <c r="K23" s="10">
        <f>K6</f>
        <v/>
      </c>
      <c r="L23" s="10">
        <f>L6</f>
        <v/>
      </c>
      <c r="M23" s="10">
        <f>M6</f>
        <v/>
      </c>
      <c r="N23" s="10">
        <f>N6</f>
        <v/>
      </c>
      <c r="O23" s="10">
        <f>O6</f>
        <v/>
      </c>
      <c r="P23" s="10">
        <f>P6</f>
        <v/>
      </c>
      <c r="Q23" s="10">
        <f>Q6</f>
        <v/>
      </c>
      <c r="R23" s="10">
        <f>R6</f>
        <v/>
      </c>
      <c r="S23" s="10">
        <f>S6</f>
        <v/>
      </c>
      <c r="T23" s="10">
        <f>T6</f>
        <v/>
      </c>
      <c r="U23" s="10">
        <f>U6</f>
        <v/>
      </c>
    </row>
    <row r="24">
      <c r="A24" s="5" t="inlineStr">
        <is>
          <t>삼성전자 — 재고자산 (US$m)</t>
        </is>
      </c>
      <c r="B24" s="10">
        <f>B10</f>
        <v/>
      </c>
      <c r="C24" s="10">
        <f>C10</f>
        <v/>
      </c>
      <c r="D24" s="10">
        <f>D10</f>
        <v/>
      </c>
      <c r="E24" s="10">
        <f>E10</f>
        <v/>
      </c>
      <c r="F24" s="10">
        <f>F10</f>
        <v/>
      </c>
      <c r="G24" s="10">
        <f>G10</f>
        <v/>
      </c>
      <c r="H24" s="10">
        <f>H10</f>
        <v/>
      </c>
      <c r="I24" s="10">
        <f>I10</f>
        <v/>
      </c>
      <c r="J24" s="10">
        <f>J10</f>
        <v/>
      </c>
      <c r="K24" s="10">
        <f>K10</f>
        <v/>
      </c>
      <c r="L24" s="10">
        <f>L10</f>
        <v/>
      </c>
      <c r="M24" s="10">
        <f>M10</f>
        <v/>
      </c>
      <c r="N24" s="10">
        <f>N10</f>
        <v/>
      </c>
      <c r="O24" s="10">
        <f>O10</f>
        <v/>
      </c>
      <c r="P24" s="10">
        <f>P10</f>
        <v/>
      </c>
      <c r="Q24" s="10">
        <f>Q10</f>
        <v/>
      </c>
      <c r="R24" s="10">
        <f>R10</f>
        <v/>
      </c>
      <c r="S24" s="10">
        <f>S10</f>
        <v/>
      </c>
      <c r="T24" s="10">
        <f>T10</f>
        <v/>
      </c>
      <c r="U24" s="10">
        <f>U10</f>
        <v/>
      </c>
    </row>
    <row r="25">
      <c r="A25" s="5" t="inlineStr">
        <is>
          <t>마이크론 — 재고자산 (US$m)</t>
        </is>
      </c>
      <c r="B25" s="10">
        <f>B14</f>
        <v/>
      </c>
      <c r="C25" s="10">
        <f>C14</f>
        <v/>
      </c>
      <c r="D25" s="10">
        <f>D14</f>
        <v/>
      </c>
      <c r="E25" s="10">
        <f>E14</f>
        <v/>
      </c>
      <c r="F25" s="10">
        <f>F14</f>
        <v/>
      </c>
      <c r="G25" s="10">
        <f>G14</f>
        <v/>
      </c>
      <c r="H25" s="10">
        <f>H14</f>
        <v/>
      </c>
      <c r="I25" s="10">
        <f>I14</f>
        <v/>
      </c>
      <c r="J25" s="10">
        <f>J14</f>
        <v/>
      </c>
      <c r="K25" s="10">
        <f>K14</f>
        <v/>
      </c>
      <c r="L25" s="10">
        <f>L14</f>
        <v/>
      </c>
      <c r="M25" s="10">
        <f>M14</f>
        <v/>
      </c>
      <c r="N25" s="10">
        <f>N14</f>
        <v/>
      </c>
      <c r="O25" s="10">
        <f>O14</f>
        <v/>
      </c>
      <c r="P25" s="10">
        <f>P14</f>
        <v/>
      </c>
      <c r="Q25" s="10">
        <f>Q14</f>
        <v/>
      </c>
      <c r="R25" s="10">
        <f>R14</f>
        <v/>
      </c>
      <c r="S25" s="10">
        <f>S14</f>
        <v/>
      </c>
      <c r="T25" s="10">
        <f>T14</f>
        <v/>
      </c>
      <c r="U25" s="10">
        <f>U14</f>
        <v/>
      </c>
    </row>
    <row r="27">
      <c r="A27" s="5" t="inlineStr">
        <is>
          <t>SK하이닉스 — PE ratio</t>
        </is>
      </c>
      <c r="B27" s="15">
        <f>B8</f>
        <v/>
      </c>
      <c r="C27" s="15">
        <f>C8</f>
        <v/>
      </c>
      <c r="D27" s="15">
        <f>D8</f>
        <v/>
      </c>
      <c r="E27" s="15">
        <f>E8</f>
        <v/>
      </c>
      <c r="F27" s="15">
        <f>F8</f>
        <v/>
      </c>
      <c r="G27" s="15">
        <f>G8</f>
        <v/>
      </c>
      <c r="H27" s="15">
        <f>H8</f>
        <v/>
      </c>
      <c r="I27" s="15">
        <f>I8</f>
        <v/>
      </c>
      <c r="J27" s="15">
        <f>J8</f>
        <v/>
      </c>
      <c r="K27" s="15">
        <f>K8</f>
        <v/>
      </c>
      <c r="L27" s="15">
        <f>L8</f>
        <v/>
      </c>
      <c r="M27" s="15">
        <f>M8</f>
        <v/>
      </c>
      <c r="N27" s="15">
        <f>N8</f>
        <v/>
      </c>
      <c r="O27" s="15">
        <f>O8</f>
        <v/>
      </c>
      <c r="P27" s="15">
        <f>P8</f>
        <v/>
      </c>
      <c r="Q27" s="15">
        <f>Q8</f>
        <v/>
      </c>
      <c r="R27" s="15">
        <f>R8</f>
        <v/>
      </c>
      <c r="S27" s="15">
        <f>S8</f>
        <v/>
      </c>
      <c r="T27" s="15">
        <f>T8</f>
        <v/>
      </c>
      <c r="U27" s="15">
        <f>U8</f>
        <v/>
      </c>
    </row>
    <row r="28">
      <c r="A28" s="5" t="inlineStr">
        <is>
          <t>삼성전자 — PE ratio</t>
        </is>
      </c>
      <c r="B28" s="15">
        <f>B12</f>
        <v/>
      </c>
      <c r="C28" s="15">
        <f>C12</f>
        <v/>
      </c>
      <c r="D28" s="15">
        <f>D12</f>
        <v/>
      </c>
      <c r="E28" s="15">
        <f>E12</f>
        <v/>
      </c>
      <c r="F28" s="15">
        <f>F12</f>
        <v/>
      </c>
      <c r="G28" s="15">
        <f>G12</f>
        <v/>
      </c>
      <c r="H28" s="15">
        <f>H12</f>
        <v/>
      </c>
      <c r="I28" s="15">
        <f>I12</f>
        <v/>
      </c>
      <c r="J28" s="15">
        <f>J12</f>
        <v/>
      </c>
      <c r="K28" s="15">
        <f>K12</f>
        <v/>
      </c>
      <c r="L28" s="15">
        <f>L12</f>
        <v/>
      </c>
      <c r="M28" s="15">
        <f>M12</f>
        <v/>
      </c>
      <c r="N28" s="15">
        <f>N12</f>
        <v/>
      </c>
      <c r="O28" s="15">
        <f>O12</f>
        <v/>
      </c>
      <c r="P28" s="15">
        <f>P12</f>
        <v/>
      </c>
      <c r="Q28" s="15">
        <f>Q12</f>
        <v/>
      </c>
      <c r="R28" s="15">
        <f>R12</f>
        <v/>
      </c>
      <c r="S28" s="15">
        <f>S12</f>
        <v/>
      </c>
      <c r="T28" s="15">
        <f>T12</f>
        <v/>
      </c>
      <c r="U28" s="15">
        <f>U12</f>
        <v/>
      </c>
    </row>
    <row r="29">
      <c r="A29" s="5" t="inlineStr">
        <is>
          <t>마이크론 — PE ratio</t>
        </is>
      </c>
      <c r="B29" s="15">
        <f>B16</f>
        <v/>
      </c>
      <c r="C29" s="15">
        <f>C16</f>
        <v/>
      </c>
      <c r="D29" s="15">
        <f>D16</f>
        <v/>
      </c>
      <c r="E29" s="15">
        <f>E16</f>
        <v/>
      </c>
      <c r="F29" s="15">
        <f>F16</f>
        <v/>
      </c>
      <c r="G29" s="15">
        <f>G16</f>
        <v/>
      </c>
      <c r="H29" s="15">
        <f>H16</f>
        <v/>
      </c>
      <c r="I29" s="15">
        <f>I16</f>
        <v/>
      </c>
      <c r="J29" s="15">
        <f>J16</f>
        <v/>
      </c>
      <c r="K29" s="15">
        <f>K16</f>
        <v/>
      </c>
      <c r="L29" s="15">
        <f>L16</f>
        <v/>
      </c>
      <c r="M29" s="15">
        <f>M16</f>
        <v/>
      </c>
      <c r="N29" s="15">
        <f>N16</f>
        <v/>
      </c>
      <c r="O29" s="15">
        <f>O16</f>
        <v/>
      </c>
      <c r="P29" s="15">
        <f>P16</f>
        <v/>
      </c>
      <c r="Q29" s="15">
        <f>Q16</f>
        <v/>
      </c>
      <c r="R29" s="15">
        <f>R16</f>
        <v/>
      </c>
      <c r="S29" s="15">
        <f>S16</f>
        <v/>
      </c>
      <c r="T29" s="15">
        <f>T16</f>
        <v/>
      </c>
      <c r="U29" s="15">
        <f>U16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20" min="1" max="1"/>
    <col width="9" customWidth="1" style="20" min="2" max="2"/>
    <col width="9" customWidth="1" style="20" min="3" max="3"/>
    <col width="9" customWidth="1" style="20" min="4" max="4"/>
    <col width="9" customWidth="1" style="20" min="5" max="5"/>
    <col width="9" customWidth="1" style="20" min="6" max="6"/>
    <col width="9" customWidth="1" style="20" min="7" max="7"/>
    <col width="9" customWidth="1" style="20" min="8" max="8"/>
    <col width="9" customWidth="1" style="20" min="9" max="9"/>
    <col width="9" customWidth="1" style="20" min="10" max="10"/>
    <col width="9" customWidth="1" style="20" min="11" max="11"/>
    <col width="9" customWidth="1" style="20" min="12" max="12"/>
    <col width="9" customWidth="1" style="20" min="13" max="13"/>
    <col width="9" customWidth="1" style="20" min="14" max="14"/>
    <col width="9" customWidth="1" style="20" min="15" max="15"/>
    <col width="9" customWidth="1" style="20" min="16" max="16"/>
    <col width="9" customWidth="1" style="20" min="17" max="17"/>
    <col width="9" customWidth="1" style="20" min="18" max="18"/>
    <col width="9" customWidth="1" style="20" min="19" max="19"/>
    <col width="9" customWidth="1" style="20" min="20" max="20"/>
    <col width="9" customWidth="1" style="20" min="21" max="21"/>
  </cols>
  <sheetData>
    <row r="1">
      <c r="A1" s="21" t="inlineStr">
        <is>
          <t>메모리 3사 Gross Profit Margin 비교 — 분기 (Memory Big 3 — Quarterly Gross Profit Margin)</t>
        </is>
      </c>
    </row>
    <row r="2">
      <c r="A2" s="22" t="inlineStr">
        <is>
          <t>정의: Gross profit margin = 영업이익 ÷ 매출액  (이 워크북 전체에서 쓰는 정의. 교과서상 매출총이익률은 아래 «참고» 표에 있습니다.)</t>
        </is>
      </c>
    </row>
    <row r="3">
      <c r="A3" s="22" t="inlineStr">
        <is>
          <t>기간: 2021Q3~2026Q2 (20개 분기) — 3사가 모두 채워져 있는 공통 구간입니다. 마이크론은 2016Q3부터 있으나 한국 2사는 2021Q3부터라 비교 구간을 여기에 맞췄습니다.</t>
        </is>
      </c>
    </row>
    <row r="4">
      <c r="A4" s="23" t="inlineStr">
        <is>
          <t>주의: 마이크론 회계연도는 8~9월 종료 — 한국 2사(12월 결산)와 정확히 같은 기간이 아닙니다. 분기 라벨은 달력 분기 기준으로 맞춘 것입니다.</t>
        </is>
      </c>
    </row>
    <row r="6">
      <c r="A6" s="24" t="inlineStr">
        <is>
          <t>Gross profit margin  (영업이익 ÷ 매출액)  — 그래프에 그려진 값</t>
        </is>
      </c>
    </row>
    <row r="7">
      <c r="A7" s="25" t="inlineStr">
        <is>
          <t>항목 (Metric)</t>
        </is>
      </c>
      <c r="B7" s="26" t="inlineStr">
        <is>
          <t>2021Q3</t>
        </is>
      </c>
      <c r="C7" s="26" t="inlineStr">
        <is>
          <t>2021Q4</t>
        </is>
      </c>
      <c r="D7" s="26" t="inlineStr">
        <is>
          <t>2022Q1</t>
        </is>
      </c>
      <c r="E7" s="26" t="inlineStr">
        <is>
          <t>2022Q2</t>
        </is>
      </c>
      <c r="F7" s="26" t="inlineStr">
        <is>
          <t>2022Q3</t>
        </is>
      </c>
      <c r="G7" s="26" t="inlineStr">
        <is>
          <t>2022Q4</t>
        </is>
      </c>
      <c r="H7" s="26" t="inlineStr">
        <is>
          <t>2023Q1</t>
        </is>
      </c>
      <c r="I7" s="26" t="inlineStr">
        <is>
          <t>2023Q2</t>
        </is>
      </c>
      <c r="J7" s="26" t="inlineStr">
        <is>
          <t>2023Q3</t>
        </is>
      </c>
      <c r="K7" s="26" t="inlineStr">
        <is>
          <t>2023Q4</t>
        </is>
      </c>
      <c r="L7" s="26" t="inlineStr">
        <is>
          <t>2024Q1</t>
        </is>
      </c>
      <c r="M7" s="26" t="inlineStr">
        <is>
          <t>2024Q2</t>
        </is>
      </c>
      <c r="N7" s="26" t="inlineStr">
        <is>
          <t>2024Q3</t>
        </is>
      </c>
      <c r="O7" s="26" t="inlineStr">
        <is>
          <t>2024Q4</t>
        </is>
      </c>
      <c r="P7" s="26" t="inlineStr">
        <is>
          <t>2025Q1</t>
        </is>
      </c>
      <c r="Q7" s="26" t="inlineStr">
        <is>
          <t>2025Q2</t>
        </is>
      </c>
      <c r="R7" s="26" t="inlineStr">
        <is>
          <t>2025Q3</t>
        </is>
      </c>
      <c r="S7" s="26" t="inlineStr">
        <is>
          <t>2025Q4</t>
        </is>
      </c>
      <c r="T7" s="26" t="inlineStr">
        <is>
          <t>2026Q1</t>
        </is>
      </c>
      <c r="U7" s="26" t="inlineStr">
        <is>
          <t>2026Q2</t>
        </is>
      </c>
    </row>
    <row r="8">
      <c r="A8" s="27" t="inlineStr">
        <is>
          <t>삼성전자 (Samsung Electronics)</t>
        </is>
      </c>
      <c r="B8" s="28">
        <f>'삼성전자_분기'!B19</f>
        <v/>
      </c>
      <c r="C8" s="28">
        <f>'삼성전자_분기'!C19</f>
        <v/>
      </c>
      <c r="D8" s="28">
        <f>'삼성전자_분기'!D19</f>
        <v/>
      </c>
      <c r="E8" s="28">
        <f>'삼성전자_분기'!E19</f>
        <v/>
      </c>
      <c r="F8" s="28">
        <f>'삼성전자_분기'!F19</f>
        <v/>
      </c>
      <c r="G8" s="28">
        <f>'삼성전자_분기'!G19</f>
        <v/>
      </c>
      <c r="H8" s="28">
        <f>'삼성전자_분기'!H19</f>
        <v/>
      </c>
      <c r="I8" s="28">
        <f>'삼성전자_분기'!I19</f>
        <v/>
      </c>
      <c r="J8" s="28">
        <f>'삼성전자_분기'!J19</f>
        <v/>
      </c>
      <c r="K8" s="28">
        <f>'삼성전자_분기'!K19</f>
        <v/>
      </c>
      <c r="L8" s="28">
        <f>'삼성전자_분기'!L19</f>
        <v/>
      </c>
      <c r="M8" s="28">
        <f>'삼성전자_분기'!M19</f>
        <v/>
      </c>
      <c r="N8" s="28">
        <f>'삼성전자_분기'!N19</f>
        <v/>
      </c>
      <c r="O8" s="28">
        <f>'삼성전자_분기'!O19</f>
        <v/>
      </c>
      <c r="P8" s="28">
        <f>'삼성전자_분기'!P19</f>
        <v/>
      </c>
      <c r="Q8" s="28">
        <f>'삼성전자_분기'!Q19</f>
        <v/>
      </c>
      <c r="R8" s="28">
        <f>'삼성전자_분기'!R19</f>
        <v/>
      </c>
      <c r="S8" s="28">
        <f>'삼성전자_분기'!S19</f>
        <v/>
      </c>
      <c r="T8" s="28">
        <f>'삼성전자_분기'!T19</f>
        <v/>
      </c>
      <c r="U8" s="28">
        <f>'삼성전자_분기'!U19</f>
        <v/>
      </c>
    </row>
    <row r="9">
      <c r="A9" s="29" t="inlineStr">
        <is>
          <t>SK하이닉스 (SK hynix)</t>
        </is>
      </c>
      <c r="B9" s="30">
        <f>'SK하이닉스_분기'!B19</f>
        <v/>
      </c>
      <c r="C9" s="30">
        <f>'SK하이닉스_분기'!C19</f>
        <v/>
      </c>
      <c r="D9" s="30">
        <f>'SK하이닉스_분기'!D19</f>
        <v/>
      </c>
      <c r="E9" s="30">
        <f>'SK하이닉스_분기'!E19</f>
        <v/>
      </c>
      <c r="F9" s="30">
        <f>'SK하이닉스_분기'!F19</f>
        <v/>
      </c>
      <c r="G9" s="30">
        <f>'SK하이닉스_분기'!G19</f>
        <v/>
      </c>
      <c r="H9" s="30">
        <f>'SK하이닉스_분기'!H19</f>
        <v/>
      </c>
      <c r="I9" s="30">
        <f>'SK하이닉스_분기'!I19</f>
        <v/>
      </c>
      <c r="J9" s="30">
        <f>'SK하이닉스_분기'!J19</f>
        <v/>
      </c>
      <c r="K9" s="30">
        <f>'SK하이닉스_분기'!K19</f>
        <v/>
      </c>
      <c r="L9" s="30">
        <f>'SK하이닉스_분기'!L19</f>
        <v/>
      </c>
      <c r="M9" s="30">
        <f>'SK하이닉스_분기'!M19</f>
        <v/>
      </c>
      <c r="N9" s="30">
        <f>'SK하이닉스_분기'!N19</f>
        <v/>
      </c>
      <c r="O9" s="30">
        <f>'SK하이닉스_분기'!O19</f>
        <v/>
      </c>
      <c r="P9" s="30">
        <f>'SK하이닉스_분기'!P19</f>
        <v/>
      </c>
      <c r="Q9" s="30">
        <f>'SK하이닉스_분기'!Q19</f>
        <v/>
      </c>
      <c r="R9" s="30">
        <f>'SK하이닉스_분기'!R19</f>
        <v/>
      </c>
      <c r="S9" s="30">
        <f>'SK하이닉스_분기'!S19</f>
        <v/>
      </c>
      <c r="T9" s="30">
        <f>'SK하이닉스_분기'!T19</f>
        <v/>
      </c>
      <c r="U9" s="30">
        <f>'SK하이닉스_분기'!U19</f>
        <v/>
      </c>
    </row>
    <row r="10">
      <c r="A10" s="27" t="inlineStr">
        <is>
          <t>마이크론 (Micron Technology)</t>
        </is>
      </c>
      <c r="B10" s="28">
        <f>'마이크론_분기'!V19</f>
        <v/>
      </c>
      <c r="C10" s="28">
        <f>'마이크론_분기'!W19</f>
        <v/>
      </c>
      <c r="D10" s="28">
        <f>'마이크론_분기'!X19</f>
        <v/>
      </c>
      <c r="E10" s="28">
        <f>'마이크론_분기'!Y19</f>
        <v/>
      </c>
      <c r="F10" s="28">
        <f>'마이크론_분기'!Z19</f>
        <v/>
      </c>
      <c r="G10" s="28">
        <f>'마이크론_분기'!AA19</f>
        <v/>
      </c>
      <c r="H10" s="28">
        <f>'마이크론_분기'!AB19</f>
        <v/>
      </c>
      <c r="I10" s="28">
        <f>'마이크론_분기'!AC19</f>
        <v/>
      </c>
      <c r="J10" s="28">
        <f>'마이크론_분기'!AD19</f>
        <v/>
      </c>
      <c r="K10" s="28">
        <f>'마이크론_분기'!AE19</f>
        <v/>
      </c>
      <c r="L10" s="28">
        <f>'마이크론_분기'!AF19</f>
        <v/>
      </c>
      <c r="M10" s="28">
        <f>'마이크론_분기'!AG19</f>
        <v/>
      </c>
      <c r="N10" s="28">
        <f>'마이크론_분기'!AH19</f>
        <v/>
      </c>
      <c r="O10" s="28">
        <f>'마이크론_분기'!AI19</f>
        <v/>
      </c>
      <c r="P10" s="28">
        <f>'마이크론_분기'!AJ19</f>
        <v/>
      </c>
      <c r="Q10" s="28">
        <f>'마이크론_분기'!AK19</f>
        <v/>
      </c>
      <c r="R10" s="28">
        <f>'마이크론_분기'!AL19</f>
        <v/>
      </c>
      <c r="S10" s="28">
        <f>'마이크론_분기'!AM19</f>
        <v/>
      </c>
      <c r="T10" s="28">
        <f>'마이크론_분기'!AN19</f>
        <v/>
      </c>
      <c r="U10" s="28">
        <f>'마이크론_분기'!AO19</f>
        <v/>
      </c>
    </row>
    <row r="12">
      <c r="A12" s="24" t="inlineStr">
        <is>
          <t>참고: 교과서상 매출총이익률  (매출총이익 ÷ 매출액)</t>
        </is>
      </c>
      <c r="F12" s="31" t="inlineStr">
        <is>
          <t>참고용 — 그래프에는 포함되지 않았습니다.</t>
        </is>
      </c>
    </row>
    <row r="13">
      <c r="A13" s="25" t="inlineStr">
        <is>
          <t>항목 (Metric)</t>
        </is>
      </c>
      <c r="B13" s="26" t="inlineStr">
        <is>
          <t>2021Q3</t>
        </is>
      </c>
      <c r="C13" s="26" t="inlineStr">
        <is>
          <t>2021Q4</t>
        </is>
      </c>
      <c r="D13" s="26" t="inlineStr">
        <is>
          <t>2022Q1</t>
        </is>
      </c>
      <c r="E13" s="26" t="inlineStr">
        <is>
          <t>2022Q2</t>
        </is>
      </c>
      <c r="F13" s="26" t="inlineStr">
        <is>
          <t>2022Q3</t>
        </is>
      </c>
      <c r="G13" s="26" t="inlineStr">
        <is>
          <t>2022Q4</t>
        </is>
      </c>
      <c r="H13" s="26" t="inlineStr">
        <is>
          <t>2023Q1</t>
        </is>
      </c>
      <c r="I13" s="26" t="inlineStr">
        <is>
          <t>2023Q2</t>
        </is>
      </c>
      <c r="J13" s="26" t="inlineStr">
        <is>
          <t>2023Q3</t>
        </is>
      </c>
      <c r="K13" s="26" t="inlineStr">
        <is>
          <t>2023Q4</t>
        </is>
      </c>
      <c r="L13" s="26" t="inlineStr">
        <is>
          <t>2024Q1</t>
        </is>
      </c>
      <c r="M13" s="26" t="inlineStr">
        <is>
          <t>2024Q2</t>
        </is>
      </c>
      <c r="N13" s="26" t="inlineStr">
        <is>
          <t>2024Q3</t>
        </is>
      </c>
      <c r="O13" s="26" t="inlineStr">
        <is>
          <t>2024Q4</t>
        </is>
      </c>
      <c r="P13" s="26" t="inlineStr">
        <is>
          <t>2025Q1</t>
        </is>
      </c>
      <c r="Q13" s="26" t="inlineStr">
        <is>
          <t>2025Q2</t>
        </is>
      </c>
      <c r="R13" s="26" t="inlineStr">
        <is>
          <t>2025Q3</t>
        </is>
      </c>
      <c r="S13" s="26" t="inlineStr">
        <is>
          <t>2025Q4</t>
        </is>
      </c>
      <c r="T13" s="26" t="inlineStr">
        <is>
          <t>2026Q1</t>
        </is>
      </c>
      <c r="U13" s="26" t="inlineStr">
        <is>
          <t>2026Q2</t>
        </is>
      </c>
    </row>
    <row r="14">
      <c r="A14" s="27" t="inlineStr">
        <is>
          <t>삼성전자 (Samsung Electronics)</t>
        </is>
      </c>
      <c r="B14" s="28">
        <f>'삼성전자_분기'!B22</f>
        <v/>
      </c>
      <c r="C14" s="28">
        <f>'삼성전자_분기'!C22</f>
        <v/>
      </c>
      <c r="D14" s="28">
        <f>'삼성전자_분기'!D22</f>
        <v/>
      </c>
      <c r="E14" s="28">
        <f>'삼성전자_분기'!E22</f>
        <v/>
      </c>
      <c r="F14" s="28">
        <f>'삼성전자_분기'!F22</f>
        <v/>
      </c>
      <c r="G14" s="28">
        <f>'삼성전자_분기'!G22</f>
        <v/>
      </c>
      <c r="H14" s="28">
        <f>'삼성전자_분기'!H22</f>
        <v/>
      </c>
      <c r="I14" s="28">
        <f>'삼성전자_분기'!I22</f>
        <v/>
      </c>
      <c r="J14" s="28">
        <f>'삼성전자_분기'!J22</f>
        <v/>
      </c>
      <c r="K14" s="28">
        <f>'삼성전자_분기'!K22</f>
        <v/>
      </c>
      <c r="L14" s="28">
        <f>'삼성전자_분기'!L22</f>
        <v/>
      </c>
      <c r="M14" s="28">
        <f>'삼성전자_분기'!M22</f>
        <v/>
      </c>
      <c r="N14" s="28">
        <f>'삼성전자_분기'!N22</f>
        <v/>
      </c>
      <c r="O14" s="28">
        <f>'삼성전자_분기'!O22</f>
        <v/>
      </c>
      <c r="P14" s="28">
        <f>'삼성전자_분기'!P22</f>
        <v/>
      </c>
      <c r="Q14" s="28">
        <f>'삼성전자_분기'!Q22</f>
        <v/>
      </c>
      <c r="R14" s="28">
        <f>'삼성전자_분기'!R22</f>
        <v/>
      </c>
      <c r="S14" s="28">
        <f>'삼성전자_분기'!S22</f>
        <v/>
      </c>
      <c r="T14" s="28">
        <f>'삼성전자_분기'!T22</f>
        <v/>
      </c>
      <c r="U14" s="28">
        <f>'삼성전자_분기'!U22</f>
        <v/>
      </c>
    </row>
    <row r="15">
      <c r="A15" s="29" t="inlineStr">
        <is>
          <t>SK하이닉스 (SK hynix)</t>
        </is>
      </c>
      <c r="B15" s="30">
        <f>'SK하이닉스_분기'!B22</f>
        <v/>
      </c>
      <c r="C15" s="30">
        <f>'SK하이닉스_분기'!C22</f>
        <v/>
      </c>
      <c r="D15" s="30">
        <f>'SK하이닉스_분기'!D22</f>
        <v/>
      </c>
      <c r="E15" s="30">
        <f>'SK하이닉스_분기'!E22</f>
        <v/>
      </c>
      <c r="F15" s="30">
        <f>'SK하이닉스_분기'!F22</f>
        <v/>
      </c>
      <c r="G15" s="30">
        <f>'SK하이닉스_분기'!G22</f>
        <v/>
      </c>
      <c r="H15" s="30">
        <f>'SK하이닉스_분기'!H22</f>
        <v/>
      </c>
      <c r="I15" s="30">
        <f>'SK하이닉스_분기'!I22</f>
        <v/>
      </c>
      <c r="J15" s="30">
        <f>'SK하이닉스_분기'!J22</f>
        <v/>
      </c>
      <c r="K15" s="30">
        <f>'SK하이닉스_분기'!K22</f>
        <v/>
      </c>
      <c r="L15" s="30">
        <f>'SK하이닉스_분기'!L22</f>
        <v/>
      </c>
      <c r="M15" s="30">
        <f>'SK하이닉스_분기'!M22</f>
        <v/>
      </c>
      <c r="N15" s="30">
        <f>'SK하이닉스_분기'!N22</f>
        <v/>
      </c>
      <c r="O15" s="30">
        <f>'SK하이닉스_분기'!O22</f>
        <v/>
      </c>
      <c r="P15" s="30">
        <f>'SK하이닉스_분기'!P22</f>
        <v/>
      </c>
      <c r="Q15" s="30">
        <f>'SK하이닉스_분기'!Q22</f>
        <v/>
      </c>
      <c r="R15" s="30">
        <f>'SK하이닉스_분기'!R22</f>
        <v/>
      </c>
      <c r="S15" s="30">
        <f>'SK하이닉스_분기'!S22</f>
        <v/>
      </c>
      <c r="T15" s="30">
        <f>'SK하이닉스_분기'!T22</f>
        <v/>
      </c>
      <c r="U15" s="30">
        <f>'SK하이닉스_분기'!U22</f>
        <v/>
      </c>
    </row>
    <row r="16">
      <c r="A16" s="27" t="inlineStr">
        <is>
          <t>마이크론 (Micron Technology)</t>
        </is>
      </c>
      <c r="B16" s="28">
        <f>'마이크론_분기'!V22</f>
        <v/>
      </c>
      <c r="C16" s="28">
        <f>'마이크론_분기'!W22</f>
        <v/>
      </c>
      <c r="D16" s="28">
        <f>'마이크론_분기'!X22</f>
        <v/>
      </c>
      <c r="E16" s="28">
        <f>'마이크론_분기'!Y22</f>
        <v/>
      </c>
      <c r="F16" s="28">
        <f>'마이크론_분기'!Z22</f>
        <v/>
      </c>
      <c r="G16" s="28">
        <f>'마이크론_분기'!AA22</f>
        <v/>
      </c>
      <c r="H16" s="28">
        <f>'마이크론_분기'!AB22</f>
        <v/>
      </c>
      <c r="I16" s="28">
        <f>'마이크론_분기'!AC22</f>
        <v/>
      </c>
      <c r="J16" s="28">
        <f>'마이크론_분기'!AD22</f>
        <v/>
      </c>
      <c r="K16" s="28">
        <f>'마이크론_분기'!AE22</f>
        <v/>
      </c>
      <c r="L16" s="28">
        <f>'마이크론_분기'!AF22</f>
        <v/>
      </c>
      <c r="M16" s="28">
        <f>'마이크론_분기'!AG22</f>
        <v/>
      </c>
      <c r="N16" s="28">
        <f>'마이크론_분기'!AH22</f>
        <v/>
      </c>
      <c r="O16" s="28">
        <f>'마이크론_분기'!AI22</f>
        <v/>
      </c>
      <c r="P16" s="28">
        <f>'마이크론_분기'!AJ22</f>
        <v/>
      </c>
      <c r="Q16" s="28">
        <f>'마이크론_분기'!AK22</f>
        <v/>
      </c>
      <c r="R16" s="28">
        <f>'마이크론_분기'!AL22</f>
        <v/>
      </c>
      <c r="S16" s="28">
        <f>'마이크론_분기'!AM22</f>
        <v/>
      </c>
      <c r="T16" s="28">
        <f>'마이크론_분기'!AN22</f>
        <v/>
      </c>
      <c r="U16" s="28">
        <f>'마이크론_분기'!AO22</f>
        <v/>
      </c>
    </row>
    <row r="17">
      <c r="A17" s="32" t="inlineStr">
        <is>
          <t>초록색 = 다른 시트를 참조하는 수식입니다. 원 데이터를 고치면 이 표와 그래프가 자동으로 따라갑니다 (각 회사의 «_분기» 시트 19행·22행).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2026-08-07T07:54:57Z</dcterms:created>
  <dcterms:modified xmlns:dcterms="http://purl.org/dc/terms/" xmlns:xsi="http://www.w3.org/2001/XMLSchema-instance" xsi:type="dcterms:W3CDTF">2026-08-13T06:55:00Z</dcterms:modified>
  <cp:lastModifiedBy/>
</cp:coreProperties>
</file>